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puts" sheetId="1" state="visible" r:id="rId3"/>
    <sheet name="Constraints" sheetId="2" state="visible" r:id="rId4"/>
    <sheet name="Marginal Analysis" sheetId="3" state="visible" r:id="rId5"/>
    <sheet name="Output" sheetId="4" state="visible" r:id="rId6"/>
  </sheets>
  <definedNames>
    <definedName function="false" hidden="false" name="Beds_Available" vbProcedure="false">Inputs!$B$14</definedName>
    <definedName function="false" hidden="false" name="Blended_Labor_Rate" vbProcedure="false">Output!$B$21</definedName>
    <definedName function="false" hidden="false" name="Carrot_Beds" vbProcedure="false">Output!$B$6</definedName>
    <definedName function="false" hidden="false" name="Carrot_Bed_Cap" vbProcedure="false">Inputs!$B$7</definedName>
    <definedName function="false" hidden="false" name="Carrot_Dim_Return" vbProcedure="false">Inputs!$F$7</definedName>
    <definedName function="false" hidden="false" name="Carrot_Fertilizer" vbProcedure="false">Inputs!$E$7</definedName>
    <definedName function="false" hidden="false" name="Carrot_Price" vbProcedure="false">Inputs!$C$7</definedName>
    <definedName function="false" hidden="false" name="Carrrot_Hours" vbProcedure="false">Inputs!$D$7</definedName>
    <definedName function="false" hidden="false" name="Farmer_Cost" vbProcedure="false">Inputs!$B$16</definedName>
    <definedName function="false" hidden="false" name="Farmer_Hours" vbProcedure="false">Inputs!$B$15</definedName>
    <definedName function="false" hidden="false" name="Fixed_Costs" vbProcedure="false">Inputs!$B$13</definedName>
    <definedName function="false" hidden="false" name="Mesclun_Beds" vbProcedure="false">Output!$B$7</definedName>
    <definedName function="false" hidden="false" name="Mesclun_Bed_Cap" vbProcedure="false">Inputs!$B$8</definedName>
    <definedName function="false" hidden="false" name="Mesclun_Dim_Return" vbProcedure="false">Inputs!$F$8</definedName>
    <definedName function="false" hidden="false" name="Mesclun_Fertilizer" vbProcedure="false">Inputs!$E$8</definedName>
    <definedName function="false" hidden="false" name="Mesclun_Hours" vbProcedure="false">Inputs!$D$8</definedName>
    <definedName function="false" hidden="false" name="Mesclun_Price" vbProcedure="false">Inputs!$C$8</definedName>
    <definedName function="false" hidden="false" name="Season" vbProcedure="false">Inputs!$B$12</definedName>
    <definedName function="false" hidden="false" name="Temp_Worker_Cost" vbProcedure="false">Inputs!$B$18</definedName>
    <definedName function="false" hidden="false" name="Temp_Worker_Count" vbProcedure="false">Inputs!$B$17</definedName>
    <definedName function="false" hidden="false" name="Temp_Worker_Hours_Each" vbProcedure="false">Inputs!$B$19</definedName>
    <definedName function="false" hidden="false" name="Tomato_Beds" vbProcedure="false">Output!$B$5</definedName>
    <definedName function="false" hidden="false" name="Tomato_Bed_Cap" vbProcedure="false">Inputs!$B$6</definedName>
    <definedName function="false" hidden="false" name="Tomato_Dim_Return" vbProcedure="false">Inputs!$F$6</definedName>
    <definedName function="false" hidden="false" name="Tomato_Fertizer" vbProcedure="false">Inputs!$E$6</definedName>
    <definedName function="false" hidden="false" name="Tomato_Hours" vbProcedure="false">Inputs!$D$6</definedName>
    <definedName function="false" hidden="false" name="Tomato_Price" vbProcedure="false">Inputs!$C$6</definedName>
    <definedName function="false" hidden="false" name="Total_Beds" vbProcedure="false">Output!$B$8</definedName>
    <definedName function="false" hidden="false" name="Total_Farm_Profit" vbProcedure="false">Output!$B$23</definedName>
    <definedName function="false" hidden="false" name="Total_Labor_Cost" vbProcedure="false">Output!$B$20</definedName>
    <definedName function="false" hidden="false" name="Total_Labor_Hours" vbProcedure="false">Output!$B$17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<sst xmlns="http://schemas.openxmlformats.org/spreadsheetml/2006/main" count="211" uniqueCount="142">
  <si>
    <t xml:space="preserve">Marginal Analysis — Crop &amp; Farm Inputs</t>
  </si>
  <si>
    <t xml:space="preserve">Case scenario: single-season crop mix. All inputs below are the named contract from spec.md — do not hardcode these values elsewhere; reference the named ranges.</t>
  </si>
  <si>
    <t xml:space="preserve">Crop Table</t>
  </si>
  <si>
    <t xml:space="preserve">Crop</t>
  </si>
  <si>
    <t xml:space="preserve">Bed Cap (# beds)</t>
  </si>
  <si>
    <t xml:space="preserve">Price ($/bed)</t>
  </si>
  <si>
    <t xml:space="preserve">Hours (hrs/wk/bed)</t>
  </si>
  <si>
    <t xml:space="preserve">Fertilizer ($/bed)</t>
  </si>
  <si>
    <t xml:space="preserve">Diminishing Return Rate (%/bed, compounding)</t>
  </si>
  <si>
    <t xml:space="preserve">Source</t>
  </si>
  <si>
    <t xml:space="preserve">Tomatoes</t>
  </si>
  <si>
    <t xml:space="preserve">Case scenario, crop table</t>
  </si>
  <si>
    <t xml:space="preserve">Carrots</t>
  </si>
  <si>
    <t xml:space="preserve">Mesclun</t>
  </si>
  <si>
    <t xml:space="preserve">Farm Table</t>
  </si>
  <si>
    <t xml:space="preserve">Parameter</t>
  </si>
  <si>
    <t xml:space="preserve">Value</t>
  </si>
  <si>
    <t xml:space="preserve">Unit</t>
  </si>
  <si>
    <t xml:space="preserve">Season</t>
  </si>
  <si>
    <t xml:space="preserve">weeks per season</t>
  </si>
  <si>
    <t xml:space="preserve">Case scenario, farm table</t>
  </si>
  <si>
    <t xml:space="preserve">Fixed_Costs</t>
  </si>
  <si>
    <t xml:space="preserve">USD per season</t>
  </si>
  <si>
    <t xml:space="preserve">Beds_Available</t>
  </si>
  <si>
    <t xml:space="preserve">total beds available this season</t>
  </si>
  <si>
    <t xml:space="preserve">Farmer_Hours</t>
  </si>
  <si>
    <t xml:space="preserve">hours available to work per season</t>
  </si>
  <si>
    <t xml:space="preserve">Farmer_Cost</t>
  </si>
  <si>
    <t xml:space="preserve">USD per hour worked</t>
  </si>
  <si>
    <t xml:space="preserve">Temp_Worker_Count</t>
  </si>
  <si>
    <t xml:space="preserve">number of available temp workers</t>
  </si>
  <si>
    <t xml:space="preserve">Temp_Worker_Cost</t>
  </si>
  <si>
    <t xml:space="preserve">Temp_Worker_Hours_Each</t>
  </si>
  <si>
    <t xml:space="preserve">hours available per season, EACH temp worker</t>
  </si>
  <si>
    <t xml:space="preserve">Labor(q) formula (applied per crop, not a single named range — q is the beds planted of that specific crop): Labor(q) = q × Hours-per-bed-per-week × Season × (1 + Diminishing Return Rate)^q. See the 'Marginal Analysis' sheet.</t>
  </si>
  <si>
    <t xml:space="preserve">Note: named ranges 'Tomato_Fertizer' and 'Carrrot_Hours' intentionally preserve the exact spelling given in spec.md's named contract.</t>
  </si>
  <si>
    <t xml:space="preserve">Marginal Analysis — Constraints</t>
  </si>
  <si>
    <t xml:space="preserve">Constraint</t>
  </si>
  <si>
    <t xml:space="preserve">LHS (actual)</t>
  </si>
  <si>
    <t xml:space="preserve">RHS (limit)</t>
  </si>
  <si>
    <t xml:space="preserve">Status</t>
  </si>
  <si>
    <t xml:space="preserve">Tomato beds within crop bed cap</t>
  </si>
  <si>
    <t xml:space="preserve">&lt;=</t>
  </si>
  <si>
    <t xml:space="preserve">Carrot beds within crop bed cap</t>
  </si>
  <si>
    <t xml:space="preserve">Mesclun beds within crop bed cap</t>
  </si>
  <si>
    <t xml:space="preserve">Total beds within farm bed capacity</t>
  </si>
  <si>
    <t xml:space="preserve">Total labor hours within farm labor capacity</t>
  </si>
  <si>
    <t xml:space="preserve">Tomato beds non-negative whole number</t>
  </si>
  <si>
    <t xml:space="preserve">whole #, &gt;= 0</t>
  </si>
  <si>
    <t xml:space="preserve">Carrot beds non-negative whole number</t>
  </si>
  <si>
    <t xml:space="preserve">Mesclun beds non-negative whole number</t>
  </si>
  <si>
    <t xml:space="preserve">All Constraints Satisfied?</t>
  </si>
  <si>
    <t xml:space="preserve">Marginal Analysis — Bed-by-Bed Cross-Over Mechanism</t>
  </si>
  <si>
    <t xml:space="preserve">Marginal labor cost uses the true marginal wage of the next hour, not the blended P&amp;L rate (see Conventions). For each crop's table, farm-wide cumulative hours = the OTHER two crops' total hours at their Solver-selected bed counts + this crop's own cumulative hours through bed q. Hours within that cumulative total up to Farmer_Hours (720) are costed at Farmer_Cost; hours beyond 720 are costed at Temp_Worker_Cost. Cross-over = the bed at which the next bed's marginal profit turns negative.</t>
  </si>
  <si>
    <t xml:space="preserve">Columns J:M (added for Stage 3): J = marginal cost in the current mix (E + F). K:M = the same crop grown ALONE (the farmer's 720 hrs are used first, then temp hours), which shows the marginal-cost dip where the farmer's hours run out and the standalone loss once Fixed_Costs is charged to a single crop. "over labor cap" = the crop alone would need more than Farmer_Hours + Temp_Worker_Count x Temp_Worker_Hours_Each.</t>
  </si>
  <si>
    <t xml:space="preserve">Beds Planted (q)</t>
  </si>
  <si>
    <t xml:space="preserve">Cumulative Labor Hours (hrs)</t>
  </si>
  <si>
    <t xml:space="preserve">Marginal Labor Hours (hrs)</t>
  </si>
  <si>
    <t xml:space="preserve">Marginal Revenue ($)</t>
  </si>
  <si>
    <t xml:space="preserve">Marginal Fertilizer Cost ($)</t>
  </si>
  <si>
    <t xml:space="preserve">Marginal Labor Cost ($, marginal rate)</t>
  </si>
  <si>
    <t xml:space="preserve">Marginal Profit ($)</t>
  </si>
  <si>
    <t xml:space="preserve">Cumulative Profit ($)</t>
  </si>
  <si>
    <t xml:space="preserve">Notes</t>
  </si>
  <si>
    <t xml:space="preserve">Marginal Cost ($, marginal rate) = E + F</t>
  </si>
  <si>
    <t xml:space="preserve">Standalone Marginal Cost ($, crop grown alone, farmer hours first)</t>
  </si>
  <si>
    <t xml:space="preserve">Standalone Average Variable Cost ($/bed)</t>
  </si>
  <si>
    <t xml:space="preserve">Standalone Profit after Fixed_Costs ($)</t>
  </si>
  <si>
    <t xml:space="preserve">Marginal Analysis — Optimal Crop Mix &amp; P&amp;L</t>
  </si>
  <si>
    <t xml:space="preserve">Decision Variables — Solver-Adjustable Cells</t>
  </si>
  <si>
    <t xml:space="preserve">Beds Planted</t>
  </si>
  <si>
    <t xml:space="preserve">Bed Cap (ref)</t>
  </si>
  <si>
    <t xml:space="preserve">Total Beds Planted</t>
  </si>
  <si>
    <t xml:space="preserve">Profit &amp; Loss by Crop (labor costed at farm-wide blended rate)</t>
  </si>
  <si>
    <t xml:space="preserve">Beds</t>
  </si>
  <si>
    <t xml:space="preserve">Revenue ($)</t>
  </si>
  <si>
    <t xml:space="preserve">Fertilizer Cost ($)</t>
  </si>
  <si>
    <t xml:space="preserve">Labor Hours (hrs)</t>
  </si>
  <si>
    <t xml:space="preserve">Labor Cost ($, blended rate)</t>
  </si>
  <si>
    <t xml:space="preserve">Profit ($, contribution margin)</t>
  </si>
  <si>
    <t xml:space="preserve">Total</t>
  </si>
  <si>
    <t xml:space="preserve">Farm-Level Summary</t>
  </si>
  <si>
    <t xml:space="preserve">Total Labor Hours (hrs)</t>
  </si>
  <si>
    <t xml:space="preserve">Labor Hours — Farmer tier (&lt;= Farmer_Hours)</t>
  </si>
  <si>
    <t xml:space="preserve">Labor Hours — Temp tier (&lt;= Temp_Worker_Count*Temp_Worker_Hours_Each)</t>
  </si>
  <si>
    <t xml:space="preserve">Total Labor Cost ($)</t>
  </si>
  <si>
    <t xml:space="preserve">Blended Labor Rate ($/hr)</t>
  </si>
  <si>
    <t xml:space="preserve">Fixed Costs ($/season)</t>
  </si>
  <si>
    <t xml:space="preserve">Total Farm Profit ($)</t>
  </si>
  <si>
    <t xml:space="preserve">Solver Setup Guide (Data &gt; Solver in Excel)</t>
  </si>
  <si>
    <t xml:space="preserve">Set Objective:</t>
  </si>
  <si>
    <t xml:space="preserve">Total_Farm_Profit  (this sheet, cell B23)</t>
  </si>
  <si>
    <t xml:space="preserve">To:</t>
  </si>
  <si>
    <t xml:space="preserve">Max</t>
  </si>
  <si>
    <t xml:space="preserve">By Changing Variable Cells:</t>
  </si>
  <si>
    <t xml:space="preserve">Tomato_Beds, Carrot_Beds, Mesclun_Beds  (B5:B7 on this sheet)</t>
  </si>
  <si>
    <t xml:space="preserve">Subject to Constraints:</t>
  </si>
  <si>
    <t xml:space="preserve">Tomato_Beds &lt;= Tomato_Bed_Cap</t>
  </si>
  <si>
    <t xml:space="preserve">Carrot_Beds &lt;= Carrot_Bed_Cap</t>
  </si>
  <si>
    <t xml:space="preserve">Mesclun_Beds &lt;= Mesclun_Bed_Cap</t>
  </si>
  <si>
    <t xml:space="preserve">Total_Beds &lt;= Beds_Available</t>
  </si>
  <si>
    <t xml:space="preserve">Total_Labor_Hours &lt;= Farmer_Hours + Temp_Worker_Count*Temp_Worker_Hours_Each</t>
  </si>
  <si>
    <t xml:space="preserve">Tomato_Beds, Carrot_Beds, Mesclun_Beds &gt;= 0</t>
  </si>
  <si>
    <t xml:space="preserve">Tomato_Beds, Carrot_Beds, Mesclun_Beds = integer</t>
  </si>
  <si>
    <t xml:space="preserve">Solving Method:</t>
  </si>
  <si>
    <t xml:space="preserve">Evolutionary (objective is nonlinear/non-smooth: compounding diminishing returns on labor hours, plus a tiered farmer/temp labor rate)</t>
  </si>
  <si>
    <t xml:space="preserve">Full constraint checks:</t>
  </si>
  <si>
    <t xml:space="preserve">See 'Constraints' sheet.</t>
  </si>
  <si>
    <t xml:space="preserve">Acceptance Checks — Stage 1.2 Published Figures (Validation rules)</t>
  </si>
  <si>
    <t xml:space="preserve">Check</t>
  </si>
  <si>
    <t xml:space="preserve">Target</t>
  </si>
  <si>
    <t xml:space="preserve">Computed</t>
  </si>
  <si>
    <t xml:space="preserve">Diff</t>
  </si>
  <si>
    <t xml:space="preserve">Tolerance</t>
  </si>
  <si>
    <t xml:space="preserve">Tomato beds planted</t>
  </si>
  <si>
    <t xml:space="preserve">Carrot beds planted</t>
  </si>
  <si>
    <t xml:space="preserve">Mesclun beds planted</t>
  </si>
  <si>
    <t xml:space="preserve">Tomato bed 10 marginal profit ($) — crossover holds</t>
  </si>
  <si>
    <t xml:space="preserve">Tomato bed 11 marginal profit ($) — crossover holds</t>
  </si>
  <si>
    <t xml:space="preserve">Acceptance Errors (count)</t>
  </si>
  <si>
    <t xml:space="preserve">Constraint Shadow Values — what one more bed of each capped crop is worth (Stage 3)</t>
  </si>
  <si>
    <t xml:space="preserve">Bed Cap</t>
  </si>
  <si>
    <t xml:space="preserve">Cap Slack (beds)</t>
  </si>
  <si>
    <t xml:space="preserve">Next-Bed Labor Hours (hrs)</t>
  </si>
  <si>
    <t xml:space="preserve">Next-Bed Marginal Cost ($)</t>
  </si>
  <si>
    <t xml:space="preserve">Next-Bed Marginal Profit ($)</t>
  </si>
  <si>
    <t xml:space="preserve">Shadow Value of Cap ($/bed)</t>
  </si>
  <si>
    <t xml:space="preserve">Next bed = one bed beyond the current plan, priced at the marginal wage (farm-wide hours already past Farmer_Hours =&gt; Temp_Worker_Cost). Shadow value is shown only where the cap binds (slack = 0); a slack cap is worth $0. Holds while Total_Beds and labor capacity stay slack (see rows 59-61).</t>
  </si>
  <si>
    <t xml:space="preserve">Farm Constraints — slack (Stage 3)</t>
  </si>
  <si>
    <t xml:space="preserve">Used</t>
  </si>
  <si>
    <t xml:space="preserve">Limit</t>
  </si>
  <si>
    <t xml:space="preserve">Slack</t>
  </si>
  <si>
    <t xml:space="preserve">Binding?</t>
  </si>
  <si>
    <t xml:space="preserve">Total beds (beds)</t>
  </si>
  <si>
    <t xml:space="preserve">Total labor hours (hrs, season)</t>
  </si>
  <si>
    <t xml:space="preserve">Temp workers (worker-equivalents, season)</t>
  </si>
  <si>
    <t xml:space="preserve">Standalone vs. In-Plan Economics — why plant crops that lose money alone (Stage 3)</t>
  </si>
  <si>
    <t xml:space="preserve">Standalone AVC ($/bed, farmer hours first)</t>
  </si>
  <si>
    <t xml:space="preserve">In-Plan AVC ($/bed, blended rate)</t>
  </si>
  <si>
    <t xml:space="preserve">In-Plan Contribution before Fixed_Costs ($)</t>
  </si>
  <si>
    <t xml:space="preserve">Price &gt; AVC?</t>
  </si>
  <si>
    <t xml:space="preserve">Standalone = the crop grown alone, carrying all of Fixed_Costs. In-plan = the recommended mix, labor at the blended rate (Output!B21). Fixed_Costs is paid whether or not a crop is planted, so the planting test is Price vs. AVC, not standalone profit.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</si>
</sst>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;&quot;($&quot;#,##0\);\-"/>
    <numFmt numFmtId="166" formatCode="#,##0.0;\(#,##0.0\);\-"/>
    <numFmt numFmtId="167" formatCode="0.00%"/>
    <numFmt numFmtId="168" formatCode="#,##0;\(#,##0\);\-"/>
    <numFmt numFmtId="169" formatCode="\$#,##0.00;&quot;($&quot;#,##0.00\);\-"/>
    <numFmt numFmtId="170" formatCode="General"/>
    <numFmt numFmtId="171" formatCode="\$#,##0.0000"/>
    <numFmt numFmtId="172" formatCode="#,##0;\(#,##0\);\-"/>
    <numFmt numFmtId="173" formatCode="#,##0"/>
    <numFmt numFmtId="174" formatCode="\$#,##0.00;&quot;($&quot;#,##0.00\);\-"/>
    <numFmt numFmtId="175" formatCode="0"/>
    <numFmt numFmtId="176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7B7B7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G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2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  <c r="B2" s="3"/>
      <c r="C2" s="3"/>
      <c r="D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26.2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5" hidden="false" customHeight="true" outlineLevel="0" collapsed="false">
      <c r="A6" s="6" t="s">
        <v>10</v>
      </c>
      <c r="B6" s="7" t="n">
        <v>20</v>
      </c>
      <c r="C6" s="8" t="n">
        <v>8800</v>
      </c>
      <c r="D6" s="9" t="n">
        <v>2.5</v>
      </c>
      <c r="E6" s="8" t="n">
        <v>880</v>
      </c>
      <c r="F6" s="10" t="n">
        <v>0.1</v>
      </c>
      <c r="G6" s="11" t="s">
        <v>11</v>
      </c>
    </row>
    <row r="7" customFormat="false" ht="15" hidden="false" customHeight="true" outlineLevel="0" collapsed="false">
      <c r="A7" s="6" t="s">
        <v>12</v>
      </c>
      <c r="B7" s="7" t="n">
        <v>20</v>
      </c>
      <c r="C7" s="8" t="n">
        <v>2094</v>
      </c>
      <c r="D7" s="9" t="n">
        <f aca="false">2.5/3</f>
        <v>0.833333333333333</v>
      </c>
      <c r="E7" s="8" t="n">
        <v>440</v>
      </c>
      <c r="F7" s="10" t="n">
        <v>0.025</v>
      </c>
      <c r="G7" s="11" t="s">
        <v>11</v>
      </c>
    </row>
    <row r="8" customFormat="false" ht="15" hidden="false" customHeight="true" outlineLevel="0" collapsed="false">
      <c r="A8" s="6" t="s">
        <v>13</v>
      </c>
      <c r="B8" s="7" t="n">
        <v>30</v>
      </c>
      <c r="C8" s="8" t="n">
        <v>2700</v>
      </c>
      <c r="D8" s="9" t="n">
        <v>1.25</v>
      </c>
      <c r="E8" s="8" t="n">
        <v>880</v>
      </c>
      <c r="F8" s="10" t="n">
        <v>0.0125</v>
      </c>
      <c r="G8" s="11" t="s">
        <v>11</v>
      </c>
    </row>
    <row r="10" customFormat="false" ht="15" hidden="false" customHeight="true" outlineLevel="0" collapsed="false">
      <c r="A10" s="4" t="s">
        <v>14</v>
      </c>
      <c r="B10" s="4"/>
      <c r="C10" s="4"/>
      <c r="D10" s="4"/>
    </row>
    <row r="11" customFormat="false" ht="15" hidden="false" customHeight="true" outlineLevel="0" collapsed="false">
      <c r="A11" s="5" t="s">
        <v>15</v>
      </c>
      <c r="B11" s="5" t="s">
        <v>16</v>
      </c>
      <c r="C11" s="5" t="s">
        <v>17</v>
      </c>
      <c r="D11" s="5" t="s">
        <v>9</v>
      </c>
    </row>
    <row r="12" customFormat="false" ht="15" hidden="false" customHeight="true" outlineLevel="0" collapsed="false">
      <c r="A12" s="6" t="s">
        <v>18</v>
      </c>
      <c r="B12" s="12" t="n">
        <v>36</v>
      </c>
      <c r="C12" s="13" t="s">
        <v>19</v>
      </c>
      <c r="D12" s="11" t="s">
        <v>20</v>
      </c>
    </row>
    <row r="13" customFormat="false" ht="15" hidden="false" customHeight="true" outlineLevel="0" collapsed="false">
      <c r="A13" s="6" t="s">
        <v>21</v>
      </c>
      <c r="B13" s="8" t="n">
        <v>20000</v>
      </c>
      <c r="C13" s="13" t="s">
        <v>22</v>
      </c>
      <c r="D13" s="11" t="s">
        <v>20</v>
      </c>
    </row>
    <row r="14" customFormat="false" ht="15" hidden="false" customHeight="true" outlineLevel="0" collapsed="false">
      <c r="A14" s="6" t="s">
        <v>23</v>
      </c>
      <c r="B14" s="12" t="n">
        <v>64</v>
      </c>
      <c r="C14" s="13" t="s">
        <v>24</v>
      </c>
      <c r="D14" s="11" t="s">
        <v>20</v>
      </c>
    </row>
    <row r="15" customFormat="false" ht="15" hidden="false" customHeight="true" outlineLevel="0" collapsed="false">
      <c r="A15" s="6" t="s">
        <v>25</v>
      </c>
      <c r="B15" s="12" t="n">
        <v>720</v>
      </c>
      <c r="C15" s="13" t="s">
        <v>26</v>
      </c>
      <c r="D15" s="11" t="s">
        <v>20</v>
      </c>
    </row>
    <row r="16" customFormat="false" ht="15" hidden="false" customHeight="true" outlineLevel="0" collapsed="false">
      <c r="A16" s="6" t="s">
        <v>27</v>
      </c>
      <c r="B16" s="14" t="n">
        <f aca="false">25000/720</f>
        <v>34.7222222222222</v>
      </c>
      <c r="C16" s="13" t="s">
        <v>28</v>
      </c>
      <c r="D16" s="11" t="s">
        <v>20</v>
      </c>
    </row>
    <row r="17" customFormat="false" ht="15" hidden="false" customHeight="true" outlineLevel="0" collapsed="false">
      <c r="A17" s="6" t="s">
        <v>29</v>
      </c>
      <c r="B17" s="12" t="n">
        <v>4</v>
      </c>
      <c r="C17" s="13" t="s">
        <v>30</v>
      </c>
      <c r="D17" s="11" t="s">
        <v>20</v>
      </c>
    </row>
    <row r="18" customFormat="false" ht="15" hidden="false" customHeight="true" outlineLevel="0" collapsed="false">
      <c r="A18" s="6" t="s">
        <v>31</v>
      </c>
      <c r="B18" s="14" t="n">
        <f aca="false">25000/1440</f>
        <v>17.3611111111111</v>
      </c>
      <c r="C18" s="13" t="s">
        <v>28</v>
      </c>
      <c r="D18" s="11" t="s">
        <v>20</v>
      </c>
    </row>
    <row r="19" customFormat="false" ht="15" hidden="false" customHeight="true" outlineLevel="0" collapsed="false">
      <c r="A19" s="6" t="s">
        <v>32</v>
      </c>
      <c r="B19" s="12" t="n">
        <v>1440</v>
      </c>
      <c r="C19" s="13" t="s">
        <v>33</v>
      </c>
      <c r="D19" s="11" t="s">
        <v>20</v>
      </c>
    </row>
    <row r="22" customFormat="false" ht="27.75" hidden="false" customHeight="true" outlineLevel="0" collapsed="false">
      <c r="A22" s="15" t="s">
        <v>34</v>
      </c>
      <c r="B22" s="15"/>
      <c r="C22" s="15"/>
      <c r="D22" s="15"/>
      <c r="E22" s="15"/>
      <c r="F22" s="15"/>
      <c r="G22" s="15"/>
    </row>
    <row r="23" customFormat="false" ht="15" hidden="false" customHeight="true" outlineLevel="0" collapsed="false">
      <c r="A23" s="16" t="s">
        <v>35</v>
      </c>
      <c r="B23" s="16"/>
      <c r="C23" s="16"/>
      <c r="D23" s="16"/>
      <c r="E23" s="16"/>
      <c r="F23" s="16"/>
      <c r="G23" s="16"/>
    </row>
  </sheetData>
  <mergeCells count="6">
    <mergeCell ref="A1:D1"/>
    <mergeCell ref="A2:D2"/>
    <mergeCell ref="A4:G4"/>
    <mergeCell ref="A10:D10"/>
    <mergeCell ref="A22:G22"/>
    <mergeCell ref="A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24"/>
    <col collapsed="false" customWidth="true" hidden="false" outlineLevel="0" max="5" min="5" style="1" width="14"/>
  </cols>
  <sheetData>
    <row r="1" customFormat="false" ht="17.25" hidden="false" customHeight="true" outlineLevel="0" collapsed="false">
      <c r="A1" s="2" t="s">
        <v>36</v>
      </c>
      <c r="B1" s="2"/>
      <c r="C1" s="2"/>
      <c r="D1" s="2"/>
      <c r="E1" s="2"/>
    </row>
    <row r="3" customFormat="false" ht="15" hidden="false" customHeight="true" outlineLevel="0" collapsed="false">
      <c r="A3" s="5" t="s">
        <v>37</v>
      </c>
      <c r="B3" s="5" t="s">
        <v>38</v>
      </c>
      <c r="C3" s="5"/>
      <c r="D3" s="5" t="s">
        <v>39</v>
      </c>
      <c r="E3" s="5" t="s">
        <v>40</v>
      </c>
    </row>
    <row r="4" customFormat="false" ht="15" hidden="false" customHeight="true" outlineLevel="0" collapsed="false">
      <c r="A4" s="17" t="s">
        <v>41</v>
      </c>
      <c r="B4" s="18" t="n">
        <f aca="false">Tomato_Beds</f>
        <v>10</v>
      </c>
      <c r="C4" s="19" t="s">
        <v>42</v>
      </c>
      <c r="D4" s="18" t="n">
        <f aca="false">Tomato_Bed_Cap</f>
        <v>20</v>
      </c>
      <c r="E4" s="20" t="str">
        <f aca="false">IF(B4&lt;=D4,"OK","VIOLATION")</f>
        <v>OK</v>
      </c>
    </row>
    <row r="5" customFormat="false" ht="15" hidden="false" customHeight="true" outlineLevel="0" collapsed="false">
      <c r="A5" s="17" t="s">
        <v>43</v>
      </c>
      <c r="B5" s="18" t="n">
        <f aca="false">Carrot_Beds</f>
        <v>20</v>
      </c>
      <c r="C5" s="19" t="s">
        <v>42</v>
      </c>
      <c r="D5" s="18" t="n">
        <f aca="false">Carrot_Bed_Cap</f>
        <v>20</v>
      </c>
      <c r="E5" s="20" t="str">
        <f aca="false">IF(B5&lt;=D5,"OK","VIOLATION")</f>
        <v>OK</v>
      </c>
    </row>
    <row r="6" customFormat="false" ht="15" hidden="false" customHeight="true" outlineLevel="0" collapsed="false">
      <c r="A6" s="17" t="s">
        <v>44</v>
      </c>
      <c r="B6" s="18" t="n">
        <f aca="false">Mesclun_Beds</f>
        <v>30</v>
      </c>
      <c r="C6" s="19" t="s">
        <v>42</v>
      </c>
      <c r="D6" s="18" t="n">
        <f aca="false">Mesclun_Bed_Cap</f>
        <v>30</v>
      </c>
      <c r="E6" s="20" t="str">
        <f aca="false">IF(B6&lt;=D6,"OK","VIOLATION")</f>
        <v>OK</v>
      </c>
    </row>
    <row r="7" customFormat="false" ht="15" hidden="false" customHeight="true" outlineLevel="0" collapsed="false">
      <c r="A7" s="17" t="s">
        <v>45</v>
      </c>
      <c r="B7" s="18" t="n">
        <f aca="false">Total_Beds</f>
        <v>60</v>
      </c>
      <c r="C7" s="19" t="s">
        <v>42</v>
      </c>
      <c r="D7" s="18" t="n">
        <f aca="false">Beds_Available</f>
        <v>64</v>
      </c>
      <c r="E7" s="20" t="str">
        <f aca="false">IF(B7&lt;=D7,"OK","VIOLATION")</f>
        <v>OK</v>
      </c>
    </row>
    <row r="8" customFormat="false" ht="15" hidden="false" customHeight="true" outlineLevel="0" collapsed="false">
      <c r="A8" s="17" t="s">
        <v>46</v>
      </c>
      <c r="B8" s="18" t="n">
        <f aca="false">Total_Labor_Hours</f>
        <v>5277.21611427389</v>
      </c>
      <c r="C8" s="19" t="s">
        <v>42</v>
      </c>
      <c r="D8" s="18" t="n">
        <f aca="false">Farmer_Hours+Temp_Worker_Count*Temp_Worker_Hours_Each</f>
        <v>6480</v>
      </c>
      <c r="E8" s="20" t="str">
        <f aca="false">IF(B8&lt;=D8,"OK","VIOLATION")</f>
        <v>OK</v>
      </c>
    </row>
    <row r="9" customFormat="false" ht="15" hidden="false" customHeight="true" outlineLevel="0" collapsed="false">
      <c r="A9" s="17" t="s">
        <v>47</v>
      </c>
      <c r="B9" s="18" t="n">
        <f aca="false">Tomato_Beds</f>
        <v>10</v>
      </c>
      <c r="C9" s="17" t="s">
        <v>48</v>
      </c>
      <c r="D9" s="17"/>
      <c r="E9" s="20" t="str">
        <f aca="false">IF(AND(B9&gt;=0,MOD(B9,1)=0),"OK","VIOLATION")</f>
        <v>OK</v>
      </c>
    </row>
    <row r="10" customFormat="false" ht="15" hidden="false" customHeight="true" outlineLevel="0" collapsed="false">
      <c r="A10" s="17" t="s">
        <v>49</v>
      </c>
      <c r="B10" s="18" t="n">
        <f aca="false">Carrot_Beds</f>
        <v>20</v>
      </c>
      <c r="C10" s="17" t="s">
        <v>48</v>
      </c>
      <c r="D10" s="17"/>
      <c r="E10" s="20" t="str">
        <f aca="false">IF(AND(B10&gt;=0,MOD(B10,1)=0),"OK","VIOLATION")</f>
        <v>OK</v>
      </c>
    </row>
    <row r="11" customFormat="false" ht="15" hidden="false" customHeight="true" outlineLevel="0" collapsed="false">
      <c r="A11" s="17" t="s">
        <v>50</v>
      </c>
      <c r="B11" s="18" t="n">
        <f aca="false">Mesclun_Beds</f>
        <v>30</v>
      </c>
      <c r="C11" s="17" t="s">
        <v>48</v>
      </c>
      <c r="D11" s="17"/>
      <c r="E11" s="20" t="str">
        <f aca="false">IF(AND(B11&gt;=0,MOD(B11,1)=0),"OK","VIOLATION")</f>
        <v>OK</v>
      </c>
    </row>
    <row r="13" customFormat="false" ht="15" hidden="false" customHeight="true" outlineLevel="0" collapsed="false">
      <c r="A13" s="6" t="s">
        <v>51</v>
      </c>
      <c r="B13" s="17"/>
      <c r="C13" s="17"/>
      <c r="D13" s="17"/>
      <c r="E13" s="20" t="str">
        <f aca="false">IF(COUNTIF(E4:E11,"VIOLATION")=0,"OK","CHECK VIOLATIONS")</f>
        <v>OK</v>
      </c>
    </row>
  </sheetData>
  <mergeCells count="1">
    <mergeCell ref="A1:E1"/>
  </mergeCells>
  <conditionalFormatting sqref="E4">
    <cfRule type="cellIs" priority="2" operator="equal" aboveAverage="0" equalAverage="0" bottom="0" percent="0" rank="0" text="" dxfId="0">
      <formula>"VIOLATION"</formula>
    </cfRule>
    <cfRule type="cellIs" priority="3" operator="equal" aboveAverage="0" equalAverage="0" bottom="0" percent="0" rank="0" text="" dxfId="1">
      <formula>"OK"</formula>
    </cfRule>
  </conditionalFormatting>
  <conditionalFormatting sqref="E5">
    <cfRule type="cellIs" priority="4" operator="equal" aboveAverage="0" equalAverage="0" bottom="0" percent="0" rank="0" text="" dxfId="0">
      <formula>"VIOLATION"</formula>
    </cfRule>
    <cfRule type="cellIs" priority="5" operator="equal" aboveAverage="0" equalAverage="0" bottom="0" percent="0" rank="0" text="" dxfId="1">
      <formula>"OK"</formula>
    </cfRule>
  </conditionalFormatting>
  <conditionalFormatting sqref="E6">
    <cfRule type="cellIs" priority="6" operator="equal" aboveAverage="0" equalAverage="0" bottom="0" percent="0" rank="0" text="" dxfId="0">
      <formula>"VIOLATION"</formula>
    </cfRule>
    <cfRule type="cellIs" priority="7" operator="equal" aboveAverage="0" equalAverage="0" bottom="0" percent="0" rank="0" text="" dxfId="1">
      <formula>"OK"</formula>
    </cfRule>
  </conditionalFormatting>
  <conditionalFormatting sqref="E7">
    <cfRule type="cellIs" priority="8" operator="equal" aboveAverage="0" equalAverage="0" bottom="0" percent="0" rank="0" text="" dxfId="0">
      <formula>"VIOLATION"</formula>
    </cfRule>
    <cfRule type="cellIs" priority="9" operator="equal" aboveAverage="0" equalAverage="0" bottom="0" percent="0" rank="0" text="" dxfId="1">
      <formula>"OK"</formula>
    </cfRule>
  </conditionalFormatting>
  <conditionalFormatting sqref="E8">
    <cfRule type="cellIs" priority="10" operator="equal" aboveAverage="0" equalAverage="0" bottom="0" percent="0" rank="0" text="" dxfId="0">
      <formula>"VIOLATION"</formula>
    </cfRule>
    <cfRule type="cellIs" priority="11" operator="equal" aboveAverage="0" equalAverage="0" bottom="0" percent="0" rank="0" text="" dxfId="1">
      <formula>"OK"</formula>
    </cfRule>
  </conditionalFormatting>
  <conditionalFormatting sqref="E9">
    <cfRule type="cellIs" priority="12" operator="equal" aboveAverage="0" equalAverage="0" bottom="0" percent="0" rank="0" text="" dxfId="0">
      <formula>"VIOLATION"</formula>
    </cfRule>
    <cfRule type="cellIs" priority="13" operator="equal" aboveAverage="0" equalAverage="0" bottom="0" percent="0" rank="0" text="" dxfId="1">
      <formula>"OK"</formula>
    </cfRule>
  </conditionalFormatting>
  <conditionalFormatting sqref="E10">
    <cfRule type="cellIs" priority="14" operator="equal" aboveAverage="0" equalAverage="0" bottom="0" percent="0" rank="0" text="" dxfId="0">
      <formula>"VIOLATION"</formula>
    </cfRule>
    <cfRule type="cellIs" priority="15" operator="equal" aboveAverage="0" equalAverage="0" bottom="0" percent="0" rank="0" text="" dxfId="1">
      <formula>"OK"</formula>
    </cfRule>
  </conditionalFormatting>
  <conditionalFormatting sqref="E11">
    <cfRule type="cellIs" priority="16" operator="equal" aboveAverage="0" equalAverage="0" bottom="0" percent="0" rank="0" text="" dxfId="0">
      <formula>"VIOLATION"</formula>
    </cfRule>
    <cfRule type="cellIs" priority="17" operator="equal" aboveAverage="0" equalAverage="0" bottom="0" percent="0" rank="0" text="" dxfId="1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M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8"/>
    <col collapsed="false" customWidth="true" hidden="false" outlineLevel="0" max="4" min="3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9" min="8" style="1" width="16"/>
    <col collapsed="false" customWidth="true" hidden="false" outlineLevel="0" max="10" min="10" style="1" width="18"/>
    <col collapsed="false" customWidth="true" hidden="false" outlineLevel="0" max="11" min="11" style="0" width="22"/>
    <col collapsed="false" customWidth="true" hidden="false" outlineLevel="0" max="13" min="12" style="0" width="20"/>
  </cols>
  <sheetData>
    <row r="1" customFormat="false" ht="17.25" hidden="false" customHeight="true" outlineLevel="0" collapsed="false">
      <c r="A1" s="2" t="s">
        <v>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5.5" hidden="false" customHeight="true" outlineLevel="0" collapsed="false">
      <c r="A2" s="21" t="s">
        <v>53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customFormat="false" ht="45" hidden="false" customHeight="true" outlineLevel="0" collapsed="false">
      <c r="A3" s="21" t="s">
        <v>54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</row>
    <row r="4" customFormat="false" ht="15" hidden="false" customHeight="true" outlineLevel="0" collapsed="false">
      <c r="A4" s="4" t="s">
        <v>10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customFormat="false" ht="51.75" hidden="false" customHeight="true" outlineLevel="0" collapsed="false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5" t="s">
        <v>61</v>
      </c>
      <c r="H5" s="5" t="s">
        <v>62</v>
      </c>
      <c r="I5" s="5" t="s">
        <v>63</v>
      </c>
      <c r="J5" s="5" t="s">
        <v>64</v>
      </c>
      <c r="K5" s="5" t="s">
        <v>65</v>
      </c>
      <c r="L5" s="5" t="s">
        <v>66</v>
      </c>
      <c r="M5" s="5" t="s">
        <v>67</v>
      </c>
    </row>
    <row r="6" customFormat="false" ht="15" hidden="false" customHeight="true" outlineLevel="0" collapsed="false">
      <c r="A6" s="22" t="n">
        <f aca="false">ROW()-5</f>
        <v>1</v>
      </c>
      <c r="B6" s="18" t="n">
        <f aca="false">IF(A6&lt;=Tomato_Bed_Cap,A6*Tomato_Hours*Season*(1+Tomato_Dim_Return)^A6,"")</f>
        <v>99</v>
      </c>
      <c r="C6" s="18" t="n">
        <f aca="false">IF(A6&lt;=Tomato_Bed_Cap,B6,"")</f>
        <v>99</v>
      </c>
      <c r="D6" s="23" t="n">
        <f aca="false">IF(A6&lt;=Tomato_Bed_Cap,Tomato_Price,"")</f>
        <v>8800</v>
      </c>
      <c r="E6" s="23" t="n">
        <f aca="false">IF(A6&lt;=Tomato_Bed_Cap,Tomato_Fertizer,"")</f>
        <v>880</v>
      </c>
      <c r="F6" s="23" t="n">
        <f aca="false">IF(A6&lt;=Tomato_Bed_Cap,MAX(0,MIN((Carrot_Beds*Carrrot_Hours*Season*(1+Carrot_Dim_Return)^Carrot_Beds+Mesclun_Beds*Mesclun_Hours*Season*(1+Mesclun_Dim_Return)^Mesclun_Beds)+B6,Farmer_Hours)-MIN((Carrot_Beds*Carrrot_Hours*Season*(1+Carrot_Dim_Return)^Carrot_Beds+Mesclun_Beds*Mesclun_Hours*Season*(1+Mesclun_Dim_Return)^Mesclun_Beds)+IF(ISNUMBER(B5),B5,0),Farmer_Hours))*Farmer_Cost+(C6-MAX(0,MIN((Carrot_Beds*Carrrot_Hours*Season*(1+Carrot_Dim_Return)^Carrot_Beds+Mesclun_Beds*Mesclun_Hours*Season*(1+Mesclun_Dim_Return)^Mesclun_Beds)+B6,Farmer_Hours)-MIN((Carrot_Beds*Carrrot_Hours*Season*(1+Carrot_Dim_Return)^Carrot_Beds+Mesclun_Beds*Mesclun_Hours*Season*(1+Mesclun_Dim_Return)^Mesclun_Beds)+IF(ISNUMBER(B5),B5,0),Farmer_Hours)))*Temp_Worker_Cost,"")</f>
        <v>1718.75</v>
      </c>
      <c r="G6" s="23" t="n">
        <f aca="false">IF(A6&lt;=Tomato_Bed_Cap,D6-E6-F6,"")</f>
        <v>6201.25</v>
      </c>
      <c r="H6" s="23" t="n">
        <f aca="false">IF(A6&lt;=Tomato_Bed_Cap,G6,"")</f>
        <v>6201.25</v>
      </c>
      <c r="I6" s="24" t="str">
        <f aca="false">IF((A6=Tomato_Beds),"&lt;- Solver-selected","")</f>
        <v/>
      </c>
      <c r="J6" s="23" t="n">
        <f aca="false">IF(ISNUMBER(E6),E6+F6,"")</f>
        <v>2598.75</v>
      </c>
      <c r="K6" s="23" t="n">
        <f aca="false">IF(A6&lt;=Tomato_Bed_Cap,IF(B6&gt;Farmer_Hours+Temp_Worker_Count*Temp_Worker_Hours_Each,"over labor cap",Tomato_Fertizer+(MIN(B6,Farmer_Hours)-MIN(N(B5),Farmer_Hours))*Farmer_Cost+(C6-(MIN(B6,Farmer_Hours)-MIN(N(B5),Farmer_Hours)))*Temp_Worker_Cost),"")</f>
        <v>4317.5</v>
      </c>
      <c r="L6" s="23" t="n">
        <f aca="false">IF(A6&lt;=Tomato_Bed_Cap,IF(B6&gt;Farmer_Hours+Temp_Worker_Count*Temp_Worker_Hours_Each,"over labor cap",(A6*Tomato_Fertizer+MIN(B6,Farmer_Hours)*Farmer_Cost+MAX(B6-Farmer_Hours,0)*Temp_Worker_Cost)/A6),"")</f>
        <v>4317.5</v>
      </c>
      <c r="M6" s="23" t="n">
        <f aca="false">IF(ISNUMBER(L6),A6*(Tomato_Price-L6)-Fixed_Costs,IF(A6&lt;=Tomato_Bed_Cap,"over labor cap",""))</f>
        <v>-15517.5</v>
      </c>
    </row>
    <row r="7" customFormat="false" ht="15" hidden="false" customHeight="true" outlineLevel="0" collapsed="false">
      <c r="A7" s="22" t="n">
        <f aca="false">ROW()-5</f>
        <v>2</v>
      </c>
      <c r="B7" s="18" t="n">
        <f aca="false">IF(A7&lt;=Tomato_Bed_Cap,A7*Tomato_Hours*Season*(1+Tomato_Dim_Return)^A7,"")</f>
        <v>217.8</v>
      </c>
      <c r="C7" s="18" t="n">
        <f aca="false">IF(A7&lt;=Tomato_Bed_Cap,B7-IF(ISNUMBER(B6),B6,0),"")</f>
        <v>118.8</v>
      </c>
      <c r="D7" s="23" t="n">
        <f aca="false">IF(A7&lt;=Tomato_Bed_Cap,Tomato_Price,"")</f>
        <v>8800</v>
      </c>
      <c r="E7" s="23" t="n">
        <f aca="false">IF(A7&lt;=Tomato_Bed_Cap,Tomato_Fertizer,"")</f>
        <v>880</v>
      </c>
      <c r="F7" s="23" t="n">
        <f aca="false">IF(A7&lt;=Tomato_Bed_Cap,MAX(0,MIN((Carrot_Beds*Carrrot_Hours*Season*(1+Carrot_Dim_Return)^Carrot_Beds+Mesclun_Beds*Mesclun_Hours*Season*(1+Mesclun_Dim_Return)^Mesclun_Beds)+B7,Farmer_Hours)-MIN((Carrot_Beds*Carrrot_Hours*Season*(1+Carrot_Dim_Return)^Carrot_Beds+Mesclun_Beds*Mesclun_Hours*Season*(1+Mesclun_Dim_Return)^Mesclun_Beds)+IF(ISNUMBER(B6),B6,0),Farmer_Hours))*Farmer_Cost+(C7-MAX(0,MIN((Carrot_Beds*Carrrot_Hours*Season*(1+Carrot_Dim_Return)^Carrot_Beds+Mesclun_Beds*Mesclun_Hours*Season*(1+Mesclun_Dim_Return)^Mesclun_Beds)+B7,Farmer_Hours)-MIN((Carrot_Beds*Carrrot_Hours*Season*(1+Carrot_Dim_Return)^Carrot_Beds+Mesclun_Beds*Mesclun_Hours*Season*(1+Mesclun_Dim_Return)^Mesclun_Beds)+IF(ISNUMBER(B6),B6,0),Farmer_Hours)))*Temp_Worker_Cost,"")</f>
        <v>2062.5</v>
      </c>
      <c r="G7" s="23" t="n">
        <f aca="false">IF(A7&lt;=Tomato_Bed_Cap,D7-E7-F7,"")</f>
        <v>5857.5</v>
      </c>
      <c r="H7" s="23" t="n">
        <f aca="false">IF(A7&lt;=Tomato_Bed_Cap,IF(ISNUMBER(H6),H6,0)+G7,"")</f>
        <v>12058.75</v>
      </c>
      <c r="I7" s="24" t="str">
        <f aca="false">IF(AND(AND(ISNUMBER(G7),G7&lt;0,ISNUMBER(G6),G6&gt;=0),(A7=Tomato_Beds)),"&lt;- Cross-over &amp; Solver-selected",IF(AND(ISNUMBER(G7),G7&lt;0,ISNUMBER(G6),G6&gt;=0),"&lt;- Cross-over (next bed unprofitable)",IF((A7=Tomato_Beds),"&lt;- Solver-selected","")))</f>
        <v/>
      </c>
      <c r="J7" s="23" t="n">
        <f aca="false">IF(ISNUMBER(E7),E7+F7,"")</f>
        <v>2942.5</v>
      </c>
      <c r="K7" s="23" t="n">
        <f aca="false">IF(A7&lt;=Tomato_Bed_Cap,IF(B7&gt;Farmer_Hours+Temp_Worker_Count*Temp_Worker_Hours_Each,"over labor cap",Tomato_Fertizer+(MIN(B7,Farmer_Hours)-MIN(N(B6),Farmer_Hours))*Farmer_Cost+(C7-(MIN(B7,Farmer_Hours)-MIN(N(B6),Farmer_Hours)))*Temp_Worker_Cost),"")</f>
        <v>5005</v>
      </c>
      <c r="L7" s="23" t="n">
        <f aca="false">IF(A7&lt;=Tomato_Bed_Cap,IF(B7&gt;Farmer_Hours+Temp_Worker_Count*Temp_Worker_Hours_Each,"over labor cap",(A7*Tomato_Fertizer+MIN(B7,Farmer_Hours)*Farmer_Cost+MAX(B7-Farmer_Hours,0)*Temp_Worker_Cost)/A7),"")</f>
        <v>4661.25</v>
      </c>
      <c r="M7" s="23" t="n">
        <f aca="false">IF(ISNUMBER(L7),A7*(Tomato_Price-L7)-Fixed_Costs,IF(A7&lt;=Tomato_Bed_Cap,"over labor cap",""))</f>
        <v>-11722.5</v>
      </c>
    </row>
    <row r="8" customFormat="false" ht="15" hidden="false" customHeight="true" outlineLevel="0" collapsed="false">
      <c r="A8" s="22" t="n">
        <f aca="false">ROW()-5</f>
        <v>3</v>
      </c>
      <c r="B8" s="18" t="n">
        <f aca="false">IF(A8&lt;=Tomato_Bed_Cap,A8*Tomato_Hours*Season*(1+Tomato_Dim_Return)^A8,"")</f>
        <v>359.37</v>
      </c>
      <c r="C8" s="18" t="n">
        <f aca="false">IF(A8&lt;=Tomato_Bed_Cap,B8-IF(ISNUMBER(B7),B7,0),"")</f>
        <v>141.57</v>
      </c>
      <c r="D8" s="23" t="n">
        <f aca="false">IF(A8&lt;=Tomato_Bed_Cap,Tomato_Price,"")</f>
        <v>8800</v>
      </c>
      <c r="E8" s="23" t="n">
        <f aca="false">IF(A8&lt;=Tomato_Bed_Cap,Tomato_Fertizer,"")</f>
        <v>880</v>
      </c>
      <c r="F8" s="23" t="n">
        <f aca="false">IF(A8&lt;=Tomato_Bed_Cap,MAX(0,MIN((Carrot_Beds*Carrrot_Hours*Season*(1+Carrot_Dim_Return)^Carrot_Beds+Mesclun_Beds*Mesclun_Hours*Season*(1+Mesclun_Dim_Return)^Mesclun_Beds)+B8,Farmer_Hours)-MIN((Carrot_Beds*Carrrot_Hours*Season*(1+Carrot_Dim_Return)^Carrot_Beds+Mesclun_Beds*Mesclun_Hours*Season*(1+Mesclun_Dim_Return)^Mesclun_Beds)+IF(ISNUMBER(B7),B7,0),Farmer_Hours))*Farmer_Cost+(C8-MAX(0,MIN((Carrot_Beds*Carrrot_Hours*Season*(1+Carrot_Dim_Return)^Carrot_Beds+Mesclun_Beds*Mesclun_Hours*Season*(1+Mesclun_Dim_Return)^Mesclun_Beds)+B8,Farmer_Hours)-MIN((Carrot_Beds*Carrrot_Hours*Season*(1+Carrot_Dim_Return)^Carrot_Beds+Mesclun_Beds*Mesclun_Hours*Season*(1+Mesclun_Dim_Return)^Mesclun_Beds)+IF(ISNUMBER(B7),B7,0),Farmer_Hours)))*Temp_Worker_Cost,"")</f>
        <v>2457.8125</v>
      </c>
      <c r="G8" s="23" t="n">
        <f aca="false">IF(A8&lt;=Tomato_Bed_Cap,D8-E8-F8,"")</f>
        <v>5462.1875</v>
      </c>
      <c r="H8" s="23" t="n">
        <f aca="false">IF(A8&lt;=Tomato_Bed_Cap,IF(ISNUMBER(H7),H7,0)+G8,"")</f>
        <v>17520.9375</v>
      </c>
      <c r="I8" s="24" t="str">
        <f aca="false">IF(AND(AND(ISNUMBER(G8),G8&lt;0,ISNUMBER(G7),G7&gt;=0),(A8=Tomato_Beds)),"&lt;- Cross-over &amp; Solver-selected",IF(AND(ISNUMBER(G8),G8&lt;0,ISNUMBER(G7),G7&gt;=0),"&lt;- Cross-over (next bed unprofitable)",IF((A8=Tomato_Beds),"&lt;- Solver-selected","")))</f>
        <v/>
      </c>
      <c r="J8" s="23" t="n">
        <f aca="false">IF(ISNUMBER(E8),E8+F8,"")</f>
        <v>3337.8125</v>
      </c>
      <c r="K8" s="23" t="n">
        <f aca="false">IF(A8&lt;=Tomato_Bed_Cap,IF(B8&gt;Farmer_Hours+Temp_Worker_Count*Temp_Worker_Hours_Each,"over labor cap",Tomato_Fertizer+(MIN(B8,Farmer_Hours)-MIN(N(B7),Farmer_Hours))*Farmer_Cost+(C8-(MIN(B8,Farmer_Hours)-MIN(N(B7),Farmer_Hours)))*Temp_Worker_Cost),"")</f>
        <v>5795.625</v>
      </c>
      <c r="L8" s="23" t="n">
        <f aca="false">IF(A8&lt;=Tomato_Bed_Cap,IF(B8&gt;Farmer_Hours+Temp_Worker_Count*Temp_Worker_Hours_Each,"over labor cap",(A8*Tomato_Fertizer+MIN(B8,Farmer_Hours)*Farmer_Cost+MAX(B8-Farmer_Hours,0)*Temp_Worker_Cost)/A8),"")</f>
        <v>5039.375</v>
      </c>
      <c r="M8" s="23" t="n">
        <f aca="false">IF(ISNUMBER(L8),A8*(Tomato_Price-L8)-Fixed_Costs,IF(A8&lt;=Tomato_Bed_Cap,"over labor cap",""))</f>
        <v>-8718.125</v>
      </c>
    </row>
    <row r="9" customFormat="false" ht="15" hidden="false" customHeight="true" outlineLevel="0" collapsed="false">
      <c r="A9" s="22" t="n">
        <f aca="false">ROW()-5</f>
        <v>4</v>
      </c>
      <c r="B9" s="18" t="n">
        <f aca="false">IF(A9&lt;=Tomato_Bed_Cap,A9*Tomato_Hours*Season*(1+Tomato_Dim_Return)^A9,"")</f>
        <v>527.076</v>
      </c>
      <c r="C9" s="18" t="n">
        <f aca="false">IF(A9&lt;=Tomato_Bed_Cap,B9-IF(ISNUMBER(B8),B8,0),"")</f>
        <v>167.706</v>
      </c>
      <c r="D9" s="23" t="n">
        <f aca="false">IF(A9&lt;=Tomato_Bed_Cap,Tomato_Price,"")</f>
        <v>8800</v>
      </c>
      <c r="E9" s="23" t="n">
        <f aca="false">IF(A9&lt;=Tomato_Bed_Cap,Tomato_Fertizer,"")</f>
        <v>880</v>
      </c>
      <c r="F9" s="23" t="n">
        <f aca="false">IF(A9&lt;=Tomato_Bed_Cap,MAX(0,MIN((Carrot_Beds*Carrrot_Hours*Season*(1+Carrot_Dim_Return)^Carrot_Beds+Mesclun_Beds*Mesclun_Hours*Season*(1+Mesclun_Dim_Return)^Mesclun_Beds)+B9,Farmer_Hours)-MIN((Carrot_Beds*Carrrot_Hours*Season*(1+Carrot_Dim_Return)^Carrot_Beds+Mesclun_Beds*Mesclun_Hours*Season*(1+Mesclun_Dim_Return)^Mesclun_Beds)+IF(ISNUMBER(B8),B8,0),Farmer_Hours))*Farmer_Cost+(C9-MAX(0,MIN((Carrot_Beds*Carrrot_Hours*Season*(1+Carrot_Dim_Return)^Carrot_Beds+Mesclun_Beds*Mesclun_Hours*Season*(1+Mesclun_Dim_Return)^Mesclun_Beds)+B9,Farmer_Hours)-MIN((Carrot_Beds*Carrrot_Hours*Season*(1+Carrot_Dim_Return)^Carrot_Beds+Mesclun_Beds*Mesclun_Hours*Season*(1+Mesclun_Dim_Return)^Mesclun_Beds)+IF(ISNUMBER(B8),B8,0),Farmer_Hours)))*Temp_Worker_Cost,"")</f>
        <v>2911.5625</v>
      </c>
      <c r="G9" s="23" t="n">
        <f aca="false">IF(A9&lt;=Tomato_Bed_Cap,D9-E9-F9,"")</f>
        <v>5008.4375</v>
      </c>
      <c r="H9" s="23" t="n">
        <f aca="false">IF(A9&lt;=Tomato_Bed_Cap,IF(ISNUMBER(H8),H8,0)+G9,"")</f>
        <v>22529.375</v>
      </c>
      <c r="I9" s="24" t="str">
        <f aca="false">IF(AND(AND(ISNUMBER(G9),G9&lt;0,ISNUMBER(G8),G8&gt;=0),(A9=Tomato_Beds)),"&lt;- Cross-over &amp; Solver-selected",IF(AND(ISNUMBER(G9),G9&lt;0,ISNUMBER(G8),G8&gt;=0),"&lt;- Cross-over (next bed unprofitable)",IF((A9=Tomato_Beds),"&lt;- Solver-selected","")))</f>
        <v/>
      </c>
      <c r="J9" s="23" t="n">
        <f aca="false">IF(ISNUMBER(E9),E9+F9,"")</f>
        <v>3791.5625</v>
      </c>
      <c r="K9" s="23" t="n">
        <f aca="false">IF(A9&lt;=Tomato_Bed_Cap,IF(B9&gt;Farmer_Hours+Temp_Worker_Count*Temp_Worker_Hours_Each,"over labor cap",Tomato_Fertizer+(MIN(B9,Farmer_Hours)-MIN(N(B8),Farmer_Hours))*Farmer_Cost+(C9-(MIN(B9,Farmer_Hours)-MIN(N(B8),Farmer_Hours)))*Temp_Worker_Cost),"")</f>
        <v>6703.125</v>
      </c>
      <c r="L9" s="23" t="n">
        <f aca="false">IF(A9&lt;=Tomato_Bed_Cap,IF(B9&gt;Farmer_Hours+Temp_Worker_Count*Temp_Worker_Hours_Each,"over labor cap",(A9*Tomato_Fertizer+MIN(B9,Farmer_Hours)*Farmer_Cost+MAX(B9-Farmer_Hours,0)*Temp_Worker_Cost)/A9),"")</f>
        <v>5455.3125</v>
      </c>
      <c r="M9" s="23" t="n">
        <f aca="false">IF(ISNUMBER(L9),A9*(Tomato_Price-L9)-Fixed_Costs,IF(A9&lt;=Tomato_Bed_Cap,"over labor cap",""))</f>
        <v>-6621.25</v>
      </c>
    </row>
    <row r="10" customFormat="false" ht="15" hidden="false" customHeight="true" outlineLevel="0" collapsed="false">
      <c r="A10" s="22" t="n">
        <f aca="false">ROW()-5</f>
        <v>5</v>
      </c>
      <c r="B10" s="18" t="n">
        <f aca="false">IF(A10&lt;=Tomato_Bed_Cap,A10*Tomato_Hours*Season*(1+Tomato_Dim_Return)^A10,"")</f>
        <v>724.7295</v>
      </c>
      <c r="C10" s="18" t="n">
        <f aca="false">IF(A10&lt;=Tomato_Bed_Cap,B10-IF(ISNUMBER(B9),B9,0),"")</f>
        <v>197.6535</v>
      </c>
      <c r="D10" s="23" t="n">
        <f aca="false">IF(A10&lt;=Tomato_Bed_Cap,Tomato_Price,"")</f>
        <v>8800</v>
      </c>
      <c r="E10" s="23" t="n">
        <f aca="false">IF(A10&lt;=Tomato_Bed_Cap,Tomato_Fertizer,"")</f>
        <v>880</v>
      </c>
      <c r="F10" s="23" t="n">
        <f aca="false">IF(A10&lt;=Tomato_Bed_Cap,MAX(0,MIN((Carrot_Beds*Carrrot_Hours*Season*(1+Carrot_Dim_Return)^Carrot_Beds+Mesclun_Beds*Mesclun_Hours*Season*(1+Mesclun_Dim_Return)^Mesclun_Beds)+B10,Farmer_Hours)-MIN((Carrot_Beds*Carrrot_Hours*Season*(1+Carrot_Dim_Return)^Carrot_Beds+Mesclun_Beds*Mesclun_Hours*Season*(1+Mesclun_Dim_Return)^Mesclun_Beds)+IF(ISNUMBER(B9),B9,0),Farmer_Hours))*Farmer_Cost+(C10-MAX(0,MIN((Carrot_Beds*Carrrot_Hours*Season*(1+Carrot_Dim_Return)^Carrot_Beds+Mesclun_Beds*Mesclun_Hours*Season*(1+Mesclun_Dim_Return)^Mesclun_Beds)+B10,Farmer_Hours)-MIN((Carrot_Beds*Carrrot_Hours*Season*(1+Carrot_Dim_Return)^Carrot_Beds+Mesclun_Beds*Mesclun_Hours*Season*(1+Mesclun_Dim_Return)^Mesclun_Beds)+IF(ISNUMBER(B9),B9,0),Farmer_Hours)))*Temp_Worker_Cost,"")</f>
        <v>3431.484375</v>
      </c>
      <c r="G10" s="23" t="n">
        <f aca="false">IF(A10&lt;=Tomato_Bed_Cap,D10-E10-F10,"")</f>
        <v>4488.515625</v>
      </c>
      <c r="H10" s="23" t="n">
        <f aca="false">IF(A10&lt;=Tomato_Bed_Cap,IF(ISNUMBER(H9),H9,0)+G10,"")</f>
        <v>27017.890625</v>
      </c>
      <c r="I10" s="24" t="str">
        <f aca="false">IF(AND(AND(ISNUMBER(G10),G10&lt;0,ISNUMBER(G9),G9&gt;=0),(A10=Tomato_Beds)),"&lt;- Cross-over &amp; Solver-selected",IF(AND(ISNUMBER(G10),G10&lt;0,ISNUMBER(G9),G9&gt;=0),"&lt;- Cross-over (next bed unprofitable)",IF((A10=Tomato_Beds),"&lt;- Solver-selected","")))</f>
        <v/>
      </c>
      <c r="J10" s="23" t="n">
        <f aca="false">IF(ISNUMBER(E10),E10+F10,"")</f>
        <v>4311.484375</v>
      </c>
      <c r="K10" s="23" t="n">
        <f aca="false">IF(A10&lt;=Tomato_Bed_Cap,IF(B10&gt;Farmer_Hours+Temp_Worker_Count*Temp_Worker_Hours_Each,"over labor cap",Tomato_Fertizer+(MIN(B10,Farmer_Hours)-MIN(N(B9),Farmer_Hours))*Farmer_Cost+(C10-(MIN(B10,Farmer_Hours)-MIN(N(B9),Farmer_Hours)))*Temp_Worker_Cost),"")</f>
        <v>7660.859375</v>
      </c>
      <c r="L10" s="23" t="n">
        <f aca="false">IF(A10&lt;=Tomato_Bed_Cap,IF(B10&gt;Farmer_Hours+Temp_Worker_Count*Temp_Worker_Hours_Each,"over labor cap",(A10*Tomato_Fertizer+MIN(B10,Farmer_Hours)*Farmer_Cost+MAX(B10-Farmer_Hours,0)*Temp_Worker_Cost)/A10),"")</f>
        <v>5896.421875</v>
      </c>
      <c r="M10" s="23" t="n">
        <f aca="false">IF(ISNUMBER(L10),A10*(Tomato_Price-L10)-Fixed_Costs,IF(A10&lt;=Tomato_Bed_Cap,"over labor cap",""))</f>
        <v>-5482.109375</v>
      </c>
    </row>
    <row r="11" customFormat="false" ht="15" hidden="false" customHeight="true" outlineLevel="0" collapsed="false">
      <c r="A11" s="22" t="n">
        <f aca="false">ROW()-5</f>
        <v>6</v>
      </c>
      <c r="B11" s="18" t="n">
        <f aca="false">IF(A11&lt;=Tomato_Bed_Cap,A11*Tomato_Hours*Season*(1+Tomato_Dim_Return)^A11,"")</f>
        <v>956.64294</v>
      </c>
      <c r="C11" s="18" t="n">
        <f aca="false">IF(A11&lt;=Tomato_Bed_Cap,B11-IF(ISNUMBER(B10),B10,0),"")</f>
        <v>231.91344</v>
      </c>
      <c r="D11" s="23" t="n">
        <f aca="false">IF(A11&lt;=Tomato_Bed_Cap,Tomato_Price,"")</f>
        <v>8800</v>
      </c>
      <c r="E11" s="23" t="n">
        <f aca="false">IF(A11&lt;=Tomato_Bed_Cap,Tomato_Fertizer,"")</f>
        <v>880</v>
      </c>
      <c r="F11" s="23" t="n">
        <f aca="false">IF(A11&lt;=Tomato_Bed_Cap,MAX(0,MIN((Carrot_Beds*Carrrot_Hours*Season*(1+Carrot_Dim_Return)^Carrot_Beds+Mesclun_Beds*Mesclun_Hours*Season*(1+Mesclun_Dim_Return)^Mesclun_Beds)+B11,Farmer_Hours)-MIN((Carrot_Beds*Carrrot_Hours*Season*(1+Carrot_Dim_Return)^Carrot_Beds+Mesclun_Beds*Mesclun_Hours*Season*(1+Mesclun_Dim_Return)^Mesclun_Beds)+IF(ISNUMBER(B10),B10,0),Farmer_Hours))*Farmer_Cost+(C11-MAX(0,MIN((Carrot_Beds*Carrrot_Hours*Season*(1+Carrot_Dim_Return)^Carrot_Beds+Mesclun_Beds*Mesclun_Hours*Season*(1+Mesclun_Dim_Return)^Mesclun_Beds)+B11,Farmer_Hours)-MIN((Carrot_Beds*Carrrot_Hours*Season*(1+Carrot_Dim_Return)^Carrot_Beds+Mesclun_Beds*Mesclun_Hours*Season*(1+Mesclun_Dim_Return)^Mesclun_Beds)+IF(ISNUMBER(B10),B10,0),Farmer_Hours)))*Temp_Worker_Cost,"")</f>
        <v>4026.275</v>
      </c>
      <c r="G11" s="23" t="n">
        <f aca="false">IF(A11&lt;=Tomato_Bed_Cap,D11-E11-F11,"")</f>
        <v>3893.725</v>
      </c>
      <c r="H11" s="23" t="n">
        <f aca="false">IF(A11&lt;=Tomato_Bed_Cap,IF(ISNUMBER(H10),H10,0)+G11,"")</f>
        <v>30911.615625</v>
      </c>
      <c r="I11" s="24" t="str">
        <f aca="false">IF(AND(AND(ISNUMBER(G11),G11&lt;0,ISNUMBER(G10),G10&gt;=0),(A11=Tomato_Beds)),"&lt;- Cross-over &amp; Solver-selected",IF(AND(ISNUMBER(G11),G11&lt;0,ISNUMBER(G10),G10&gt;=0),"&lt;- Cross-over (next bed unprofitable)",IF((A11=Tomato_Beds),"&lt;- Solver-selected","")))</f>
        <v/>
      </c>
      <c r="J11" s="23" t="n">
        <f aca="false">IF(ISNUMBER(E11),E11+F11,"")</f>
        <v>4906.275</v>
      </c>
      <c r="K11" s="23" t="n">
        <f aca="false">IF(A11&lt;=Tomato_Bed_Cap,IF(B11&gt;Farmer_Hours+Temp_Worker_Count*Temp_Worker_Hours_Each,"over labor cap",Tomato_Fertizer+(MIN(B11,Farmer_Hours)-MIN(N(B10),Farmer_Hours))*Farmer_Cost+(C11-(MIN(B11,Farmer_Hours)-MIN(N(B10),Farmer_Hours)))*Temp_Worker_Cost),"")</f>
        <v>4906.275</v>
      </c>
      <c r="L11" s="23" t="n">
        <f aca="false">IF(A11&lt;=Tomato_Bed_Cap,IF(B11&gt;Farmer_Hours+Temp_Worker_Count*Temp_Worker_Hours_Each,"over labor cap",(A11*Tomato_Fertizer+MIN(B11,Farmer_Hours)*Farmer_Cost+MAX(B11-Farmer_Hours,0)*Temp_Worker_Cost)/A11),"")</f>
        <v>5731.39739583333</v>
      </c>
      <c r="M11" s="23" t="n">
        <f aca="false">IF(ISNUMBER(L11),A11*(Tomato_Price-L11)-Fixed_Costs,IF(A11&lt;=Tomato_Bed_Cap,"over labor cap",""))</f>
        <v>-1588.38437500001</v>
      </c>
    </row>
    <row r="12" customFormat="false" ht="15" hidden="false" customHeight="true" outlineLevel="0" collapsed="false">
      <c r="A12" s="22" t="n">
        <f aca="false">ROW()-5</f>
        <v>7</v>
      </c>
      <c r="B12" s="18" t="n">
        <f aca="false">IF(A12&lt;=Tomato_Bed_Cap,A12*Tomato_Hours*Season*(1+Tomato_Dim_Return)^A12,"")</f>
        <v>1227.691773</v>
      </c>
      <c r="C12" s="18" t="n">
        <f aca="false">IF(A12&lt;=Tomato_Bed_Cap,B12-IF(ISNUMBER(B11),B11,0),"")</f>
        <v>271.048833</v>
      </c>
      <c r="D12" s="23" t="n">
        <f aca="false">IF(A12&lt;=Tomato_Bed_Cap,Tomato_Price,"")</f>
        <v>8800</v>
      </c>
      <c r="E12" s="23" t="n">
        <f aca="false">IF(A12&lt;=Tomato_Bed_Cap,Tomato_Fertizer,"")</f>
        <v>880</v>
      </c>
      <c r="F12" s="23" t="n">
        <f aca="false">IF(A12&lt;=Tomato_Bed_Cap,MAX(0,MIN((Carrot_Beds*Carrrot_Hours*Season*(1+Carrot_Dim_Return)^Carrot_Beds+Mesclun_Beds*Mesclun_Hours*Season*(1+Mesclun_Dim_Return)^Mesclun_Beds)+B12,Farmer_Hours)-MIN((Carrot_Beds*Carrrot_Hours*Season*(1+Carrot_Dim_Return)^Carrot_Beds+Mesclun_Beds*Mesclun_Hours*Season*(1+Mesclun_Dim_Return)^Mesclun_Beds)+IF(ISNUMBER(B11),B11,0),Farmer_Hours))*Farmer_Cost+(C12-MAX(0,MIN((Carrot_Beds*Carrrot_Hours*Season*(1+Carrot_Dim_Return)^Carrot_Beds+Mesclun_Beds*Mesclun_Hours*Season*(1+Mesclun_Dim_Return)^Mesclun_Beds)+B12,Farmer_Hours)-MIN((Carrot_Beds*Carrrot_Hours*Season*(1+Carrot_Dim_Return)^Carrot_Beds+Mesclun_Beds*Mesclun_Hours*Season*(1+Mesclun_Dim_Return)^Mesclun_Beds)+IF(ISNUMBER(B11),B11,0),Farmer_Hours)))*Temp_Worker_Cost,"")</f>
        <v>4705.70890625</v>
      </c>
      <c r="G12" s="23" t="n">
        <f aca="false">IF(A12&lt;=Tomato_Bed_Cap,D12-E12-F12,"")</f>
        <v>3214.29109375</v>
      </c>
      <c r="H12" s="23" t="n">
        <f aca="false">IF(A12&lt;=Tomato_Bed_Cap,IF(ISNUMBER(H11),H11,0)+G12,"")</f>
        <v>34125.90671875</v>
      </c>
      <c r="I12" s="24" t="str">
        <f aca="false">IF(AND(AND(ISNUMBER(G12),G12&lt;0,ISNUMBER(G11),G11&gt;=0),(A12=Tomato_Beds)),"&lt;- Cross-over &amp; Solver-selected",IF(AND(ISNUMBER(G12),G12&lt;0,ISNUMBER(G11),G11&gt;=0),"&lt;- Cross-over (next bed unprofitable)",IF((A12=Tomato_Beds),"&lt;- Solver-selected","")))</f>
        <v/>
      </c>
      <c r="J12" s="23" t="n">
        <f aca="false">IF(ISNUMBER(E12),E12+F12,"")</f>
        <v>5585.70890625</v>
      </c>
      <c r="K12" s="23" t="n">
        <f aca="false">IF(A12&lt;=Tomato_Bed_Cap,IF(B12&gt;Farmer_Hours+Temp_Worker_Count*Temp_Worker_Hours_Each,"over labor cap",Tomato_Fertizer+(MIN(B12,Farmer_Hours)-MIN(N(B11),Farmer_Hours))*Farmer_Cost+(C12-(MIN(B12,Farmer_Hours)-MIN(N(B11),Farmer_Hours)))*Temp_Worker_Cost),"")</f>
        <v>5585.70890625</v>
      </c>
      <c r="L12" s="23" t="n">
        <f aca="false">IF(A12&lt;=Tomato_Bed_Cap,IF(B12&gt;Farmer_Hours+Temp_Worker_Count*Temp_Worker_Hours_Each,"over labor cap",(A12*Tomato_Fertizer+MIN(B12,Farmer_Hours)*Farmer_Cost+MAX(B12-Farmer_Hours,0)*Temp_Worker_Cost)/A12),"")</f>
        <v>5710.58475446429</v>
      </c>
      <c r="M12" s="23" t="n">
        <f aca="false">IF(ISNUMBER(L12),A12*(Tomato_Price-L12)-Fixed_Costs,IF(A12&lt;=Tomato_Bed_Cap,"over labor cap",""))</f>
        <v>1625.90671874999</v>
      </c>
    </row>
    <row r="13" customFormat="false" ht="15" hidden="false" customHeight="true" outlineLevel="0" collapsed="false">
      <c r="A13" s="22" t="n">
        <f aca="false">ROW()-5</f>
        <v>8</v>
      </c>
      <c r="B13" s="18" t="n">
        <f aca="false">IF(A13&lt;=Tomato_Bed_Cap,A13*Tomato_Hours*Season*(1+Tomato_Dim_Return)^A13,"")</f>
        <v>1543.3839432</v>
      </c>
      <c r="C13" s="18" t="n">
        <f aca="false">IF(A13&lt;=Tomato_Bed_Cap,B13-IF(ISNUMBER(B12),B12,0),"")</f>
        <v>315.6921702</v>
      </c>
      <c r="D13" s="23" t="n">
        <f aca="false">IF(A13&lt;=Tomato_Bed_Cap,Tomato_Price,"")</f>
        <v>8800</v>
      </c>
      <c r="E13" s="23" t="n">
        <f aca="false">IF(A13&lt;=Tomato_Bed_Cap,Tomato_Fertizer,"")</f>
        <v>880</v>
      </c>
      <c r="F13" s="23" t="n">
        <f aca="false">IF(A13&lt;=Tomato_Bed_Cap,MAX(0,MIN((Carrot_Beds*Carrrot_Hours*Season*(1+Carrot_Dim_Return)^Carrot_Beds+Mesclun_Beds*Mesclun_Hours*Season*(1+Mesclun_Dim_Return)^Mesclun_Beds)+B13,Farmer_Hours)-MIN((Carrot_Beds*Carrrot_Hours*Season*(1+Carrot_Dim_Return)^Carrot_Beds+Mesclun_Beds*Mesclun_Hours*Season*(1+Mesclun_Dim_Return)^Mesclun_Beds)+IF(ISNUMBER(B12),B12,0),Farmer_Hours))*Farmer_Cost+(C13-MAX(0,MIN((Carrot_Beds*Carrrot_Hours*Season*(1+Carrot_Dim_Return)^Carrot_Beds+Mesclun_Beds*Mesclun_Hours*Season*(1+Mesclun_Dim_Return)^Mesclun_Beds)+B13,Farmer_Hours)-MIN((Carrot_Beds*Carrrot_Hours*Season*(1+Carrot_Dim_Return)^Carrot_Beds+Mesclun_Beds*Mesclun_Hours*Season*(1+Mesclun_Dim_Return)^Mesclun_Beds)+IF(ISNUMBER(B12),B12,0),Farmer_Hours)))*Temp_Worker_Cost,"")</f>
        <v>5480.76684375001</v>
      </c>
      <c r="G13" s="23" t="n">
        <f aca="false">IF(A13&lt;=Tomato_Bed_Cap,D13-E13-F13,"")</f>
        <v>2439.23315624999</v>
      </c>
      <c r="H13" s="23" t="n">
        <f aca="false">IF(A13&lt;=Tomato_Bed_Cap,IF(ISNUMBER(H12),H12,0)+G13,"")</f>
        <v>36565.139875</v>
      </c>
      <c r="I13" s="24" t="str">
        <f aca="false">IF(AND(AND(ISNUMBER(G13),G13&lt;0,ISNUMBER(G12),G12&gt;=0),(A13=Tomato_Beds)),"&lt;- Cross-over &amp; Solver-selected",IF(AND(ISNUMBER(G13),G13&lt;0,ISNUMBER(G12),G12&gt;=0),"&lt;- Cross-over (next bed unprofitable)",IF((A13=Tomato_Beds),"&lt;- Solver-selected","")))</f>
        <v/>
      </c>
      <c r="J13" s="23" t="n">
        <f aca="false">IF(ISNUMBER(E13),E13+F13,"")</f>
        <v>6360.76684375001</v>
      </c>
      <c r="K13" s="23" t="n">
        <f aca="false">IF(A13&lt;=Tomato_Bed_Cap,IF(B13&gt;Farmer_Hours+Temp_Worker_Count*Temp_Worker_Hours_Each,"over labor cap",Tomato_Fertizer+(MIN(B13,Farmer_Hours)-MIN(N(B12),Farmer_Hours))*Farmer_Cost+(C13-(MIN(B13,Farmer_Hours)-MIN(N(B12),Farmer_Hours)))*Temp_Worker_Cost),"")</f>
        <v>6360.76684375001</v>
      </c>
      <c r="L13" s="23" t="n">
        <f aca="false">IF(A13&lt;=Tomato_Bed_Cap,IF(B13&gt;Farmer_Hours+Temp_Worker_Count*Temp_Worker_Hours_Each,"over labor cap",(A13*Tomato_Fertizer+MIN(B13,Farmer_Hours)*Farmer_Cost+MAX(B13-Farmer_Hours,0)*Temp_Worker_Cost)/A13),"")</f>
        <v>5791.857515625</v>
      </c>
      <c r="M13" s="23" t="n">
        <f aca="false">IF(ISNUMBER(L13),A13*(Tomato_Price-L13)-Fixed_Costs,IF(A13&lt;=Tomato_Bed_Cap,"over labor cap",""))</f>
        <v>4065.13987499998</v>
      </c>
    </row>
    <row r="14" customFormat="false" ht="15" hidden="false" customHeight="true" outlineLevel="0" collapsed="false">
      <c r="A14" s="22" t="n">
        <f aca="false">ROW()-5</f>
        <v>9</v>
      </c>
      <c r="B14" s="18" t="n">
        <f aca="false">IF(A14&lt;=Tomato_Bed_Cap,A14*Tomato_Hours*Season*(1+Tomato_Dim_Return)^A14,"")</f>
        <v>1909.93762971</v>
      </c>
      <c r="C14" s="18" t="n">
        <f aca="false">IF(A14&lt;=Tomato_Bed_Cap,B14-IF(ISNUMBER(B13),B13,0),"")</f>
        <v>366.553686510001</v>
      </c>
      <c r="D14" s="23" t="n">
        <f aca="false">IF(A14&lt;=Tomato_Bed_Cap,Tomato_Price,"")</f>
        <v>8800</v>
      </c>
      <c r="E14" s="23" t="n">
        <f aca="false">IF(A14&lt;=Tomato_Bed_Cap,Tomato_Fertizer,"")</f>
        <v>880</v>
      </c>
      <c r="F14" s="23" t="n">
        <f aca="false">IF(A14&lt;=Tomato_Bed_Cap,MAX(0,MIN((Carrot_Beds*Carrrot_Hours*Season*(1+Carrot_Dim_Return)^Carrot_Beds+Mesclun_Beds*Mesclun_Hours*Season*(1+Mesclun_Dim_Return)^Mesclun_Beds)+B14,Farmer_Hours)-MIN((Carrot_Beds*Carrrot_Hours*Season*(1+Carrot_Dim_Return)^Carrot_Beds+Mesclun_Beds*Mesclun_Hours*Season*(1+Mesclun_Dim_Return)^Mesclun_Beds)+IF(ISNUMBER(B13),B13,0),Farmer_Hours))*Farmer_Cost+(C14-MAX(0,MIN((Carrot_Beds*Carrrot_Hours*Season*(1+Carrot_Dim_Return)^Carrot_Beds+Mesclun_Beds*Mesclun_Hours*Season*(1+Mesclun_Dim_Return)^Mesclun_Beds)+B14,Farmer_Hours)-MIN((Carrot_Beds*Carrrot_Hours*Season*(1+Carrot_Dim_Return)^Carrot_Beds+Mesclun_Beds*Mesclun_Hours*Season*(1+Mesclun_Dim_Return)^Mesclun_Beds)+IF(ISNUMBER(B13),B13,0),Farmer_Hours)))*Temp_Worker_Cost,"")</f>
        <v>6363.77927968751</v>
      </c>
      <c r="G14" s="23" t="n">
        <f aca="false">IF(A14&lt;=Tomato_Bed_Cap,D14-E14-F14,"")</f>
        <v>1556.22072031249</v>
      </c>
      <c r="H14" s="23" t="n">
        <f aca="false">IF(A14&lt;=Tomato_Bed_Cap,IF(ISNUMBER(H13),H13,0)+G14,"")</f>
        <v>38121.3605953125</v>
      </c>
      <c r="I14" s="24" t="str">
        <f aca="false">IF(AND(AND(ISNUMBER(G14),G14&lt;0,ISNUMBER(G13),G13&gt;=0),(A14=Tomato_Beds)),"&lt;- Cross-over &amp; Solver-selected",IF(AND(ISNUMBER(G14),G14&lt;0,ISNUMBER(G13),G13&gt;=0),"&lt;- Cross-over (next bed unprofitable)",IF((A14=Tomato_Beds),"&lt;- Solver-selected","")))</f>
        <v/>
      </c>
      <c r="J14" s="23" t="n">
        <f aca="false">IF(ISNUMBER(E14),E14+F14,"")</f>
        <v>7243.77927968751</v>
      </c>
      <c r="K14" s="23" t="n">
        <f aca="false">IF(A14&lt;=Tomato_Bed_Cap,IF(B14&gt;Farmer_Hours+Temp_Worker_Count*Temp_Worker_Hours_Each,"over labor cap",Tomato_Fertizer+(MIN(B14,Farmer_Hours)-MIN(N(B13),Farmer_Hours))*Farmer_Cost+(C14-(MIN(B14,Farmer_Hours)-MIN(N(B13),Farmer_Hours)))*Temp_Worker_Cost),"")</f>
        <v>7243.77927968751</v>
      </c>
      <c r="L14" s="23" t="n">
        <f aca="false">IF(A14&lt;=Tomato_Bed_Cap,IF(B14&gt;Farmer_Hours+Temp_Worker_Count*Temp_Worker_Hours_Each,"over labor cap",(A14*Tomato_Fertizer+MIN(B14,Farmer_Hours)*Farmer_Cost+MAX(B14-Farmer_Hours,0)*Temp_Worker_Cost)/A14),"")</f>
        <v>5953.18215607639</v>
      </c>
      <c r="M14" s="23" t="n">
        <f aca="false">IF(ISNUMBER(L14),A14*(Tomato_Price-L14)-Fixed_Costs,IF(A14&lt;=Tomato_Bed_Cap,"over labor cap",""))</f>
        <v>5621.36059531247</v>
      </c>
    </row>
    <row r="15" customFormat="false" ht="15" hidden="false" customHeight="true" outlineLevel="0" collapsed="false">
      <c r="A15" s="22" t="n">
        <f aca="false">ROW()-5</f>
        <v>10</v>
      </c>
      <c r="B15" s="18" t="n">
        <f aca="false">IF(A15&lt;=Tomato_Bed_Cap,A15*Tomato_Hours*Season*(1+Tomato_Dim_Return)^A15,"")</f>
        <v>2334.36821409</v>
      </c>
      <c r="C15" s="18" t="n">
        <f aca="false">IF(A15&lt;=Tomato_Bed_Cap,B15-IF(ISNUMBER(B14),B14,0),"")</f>
        <v>424.43058438</v>
      </c>
      <c r="D15" s="23" t="n">
        <f aca="false">IF(A15&lt;=Tomato_Bed_Cap,Tomato_Price,"")</f>
        <v>8800</v>
      </c>
      <c r="E15" s="23" t="n">
        <f aca="false">IF(A15&lt;=Tomato_Bed_Cap,Tomato_Fertizer,"")</f>
        <v>880</v>
      </c>
      <c r="F15" s="23" t="n">
        <f aca="false">IF(A15&lt;=Tomato_Bed_Cap,MAX(0,MIN((Carrot_Beds*Carrrot_Hours*Season*(1+Carrot_Dim_Return)^Carrot_Beds+Mesclun_Beds*Mesclun_Hours*Season*(1+Mesclun_Dim_Return)^Mesclun_Beds)+B15,Farmer_Hours)-MIN((Carrot_Beds*Carrrot_Hours*Season*(1+Carrot_Dim_Return)^Carrot_Beds+Mesclun_Beds*Mesclun_Hours*Season*(1+Mesclun_Dim_Return)^Mesclun_Beds)+IF(ISNUMBER(B14),B14,0),Farmer_Hours))*Farmer_Cost+(C15-MAX(0,MIN((Carrot_Beds*Carrrot_Hours*Season*(1+Carrot_Dim_Return)^Carrot_Beds+Mesclun_Beds*Mesclun_Hours*Season*(1+Mesclun_Dim_Return)^Mesclun_Beds)+B15,Farmer_Hours)-MIN((Carrot_Beds*Carrrot_Hours*Season*(1+Carrot_Dim_Return)^Carrot_Beds+Mesclun_Beds*Mesclun_Hours*Season*(1+Mesclun_Dim_Return)^Mesclun_Beds)+IF(ISNUMBER(B14),B14,0),Farmer_Hours)))*Temp_Worker_Cost,"")</f>
        <v>7368.58653437501</v>
      </c>
      <c r="G15" s="23" t="n">
        <f aca="false">IF(A15&lt;=Tomato_Bed_Cap,D15-E15-F15,"")</f>
        <v>551.413465624995</v>
      </c>
      <c r="H15" s="23" t="n">
        <f aca="false">IF(A15&lt;=Tomato_Bed_Cap,IF(ISNUMBER(H14),H14,0)+G15,"")</f>
        <v>38672.7740609375</v>
      </c>
      <c r="I15" s="24" t="str">
        <f aca="false">IF(AND(AND(ISNUMBER(G15),G15&lt;0,ISNUMBER(G14),G14&gt;=0),(A15=Tomato_Beds)),"&lt;- Cross-over &amp; Solver-selected",IF(AND(ISNUMBER(G15),G15&lt;0,ISNUMBER(G14),G14&gt;=0),"&lt;- Cross-over (next bed unprofitable)",IF((A15=Tomato_Beds),"&lt;- Solver-selected","")))</f>
        <v>&lt;- Solver-selected</v>
      </c>
      <c r="J15" s="23" t="n">
        <f aca="false">IF(ISNUMBER(E15),E15+F15,"")</f>
        <v>8248.58653437501</v>
      </c>
      <c r="K15" s="23" t="n">
        <f aca="false">IF(A15&lt;=Tomato_Bed_Cap,IF(B15&gt;Farmer_Hours+Temp_Worker_Count*Temp_Worker_Hours_Each,"over labor cap",Tomato_Fertizer+(MIN(B15,Farmer_Hours)-MIN(N(B14),Farmer_Hours))*Farmer_Cost+(C15-(MIN(B15,Farmer_Hours)-MIN(N(B14),Farmer_Hours)))*Temp_Worker_Cost),"")</f>
        <v>8248.58653437501</v>
      </c>
      <c r="L15" s="23" t="n">
        <f aca="false">IF(A15&lt;=Tomato_Bed_Cap,IF(B15&gt;Farmer_Hours+Temp_Worker_Count*Temp_Worker_Hours_Each,"over labor cap",(A15*Tomato_Fertizer+MIN(B15,Farmer_Hours)*Farmer_Cost+MAX(B15-Farmer_Hours,0)*Temp_Worker_Cost)/A15),"")</f>
        <v>6182.72259390625</v>
      </c>
      <c r="M15" s="23" t="n">
        <f aca="false">IF(ISNUMBER(L15),A15*(Tomato_Price-L15)-Fixed_Costs,IF(A15&lt;=Tomato_Bed_Cap,"over labor cap",""))</f>
        <v>6172.77406093746</v>
      </c>
    </row>
    <row r="16" customFormat="false" ht="15" hidden="false" customHeight="true" outlineLevel="0" collapsed="false">
      <c r="A16" s="22" t="n">
        <f aca="false">ROW()-5</f>
        <v>11</v>
      </c>
      <c r="B16" s="18" t="n">
        <f aca="false">IF(A16&lt;=Tomato_Bed_Cap,A16*Tomato_Hours*Season*(1+Tomato_Dim_Return)^A16,"")</f>
        <v>2824.5855390489</v>
      </c>
      <c r="C16" s="18" t="n">
        <f aca="false">IF(A16&lt;=Tomato_Bed_Cap,B16-IF(ISNUMBER(B15),B15,0),"")</f>
        <v>490.2173249589</v>
      </c>
      <c r="D16" s="23" t="n">
        <f aca="false">IF(A16&lt;=Tomato_Bed_Cap,Tomato_Price,"")</f>
        <v>8800</v>
      </c>
      <c r="E16" s="23" t="n">
        <f aca="false">IF(A16&lt;=Tomato_Bed_Cap,Tomato_Fertizer,"")</f>
        <v>880</v>
      </c>
      <c r="F16" s="23" t="n">
        <f aca="false">IF(A16&lt;=Tomato_Bed_Cap,MAX(0,MIN((Carrot_Beds*Carrrot_Hours*Season*(1+Carrot_Dim_Return)^Carrot_Beds+Mesclun_Beds*Mesclun_Hours*Season*(1+Mesclun_Dim_Return)^Mesclun_Beds)+B16,Farmer_Hours)-MIN((Carrot_Beds*Carrrot_Hours*Season*(1+Carrot_Dim_Return)^Carrot_Beds+Mesclun_Beds*Mesclun_Hours*Season*(1+Mesclun_Dim_Return)^Mesclun_Beds)+IF(ISNUMBER(B15),B15,0),Farmer_Hours))*Farmer_Cost+(C16-MAX(0,MIN((Carrot_Beds*Carrrot_Hours*Season*(1+Carrot_Dim_Return)^Carrot_Beds+Mesclun_Beds*Mesclun_Hours*Season*(1+Mesclun_Dim_Return)^Mesclun_Beds)+B16,Farmer_Hours)-MIN((Carrot_Beds*Carrrot_Hours*Season*(1+Carrot_Dim_Return)^Carrot_Beds+Mesclun_Beds*Mesclun_Hours*Season*(1+Mesclun_Dim_Return)^Mesclun_Beds)+IF(ISNUMBER(B15),B15,0),Farmer_Hours)))*Temp_Worker_Cost,"")</f>
        <v>8510.71744720313</v>
      </c>
      <c r="G16" s="23" t="n">
        <f aca="false">IF(A16&lt;=Tomato_Bed_Cap,D16-E16-F16,"")</f>
        <v>-590.717447203133</v>
      </c>
      <c r="H16" s="23" t="n">
        <f aca="false">IF(A16&lt;=Tomato_Bed_Cap,IF(ISNUMBER(H15),H15,0)+G16,"")</f>
        <v>38082.0566137344</v>
      </c>
      <c r="I16" s="24" t="str">
        <f aca="false">IF(AND(AND(ISNUMBER(G16),G16&lt;0,ISNUMBER(G15),G15&gt;=0),(A16=Tomato_Beds)),"&lt;- Cross-over &amp; Solver-selected",IF(AND(ISNUMBER(G16),G16&lt;0,ISNUMBER(G15),G15&gt;=0),"&lt;- Cross-over (next bed unprofitable)",IF((A16=Tomato_Beds),"&lt;- Solver-selected","")))</f>
        <v>&lt;- Cross-over (next bed unprofitable)</v>
      </c>
      <c r="J16" s="23" t="n">
        <f aca="false">IF(ISNUMBER(E16),E16+F16,"")</f>
        <v>9390.71744720313</v>
      </c>
      <c r="K16" s="23" t="n">
        <f aca="false">IF(A16&lt;=Tomato_Bed_Cap,IF(B16&gt;Farmer_Hours+Temp_Worker_Count*Temp_Worker_Hours_Each,"over labor cap",Tomato_Fertizer+(MIN(B16,Farmer_Hours)-MIN(N(B15),Farmer_Hours))*Farmer_Cost+(C16-(MIN(B16,Farmer_Hours)-MIN(N(B15),Farmer_Hours)))*Temp_Worker_Cost),"")</f>
        <v>9390.71744720313</v>
      </c>
      <c r="L16" s="23" t="n">
        <f aca="false">IF(A16&lt;=Tomato_Bed_Cap,IF(B16&gt;Farmer_Hours+Temp_Worker_Count*Temp_Worker_Hours_Each,"over labor cap",(A16*Tomato_Fertizer+MIN(B16,Farmer_Hours)*Farmer_Cost+MAX(B16-Farmer_Hours,0)*Temp_Worker_Cost)/A16),"")</f>
        <v>6474.35848966051</v>
      </c>
      <c r="M16" s="23" t="n">
        <f aca="false">IF(ISNUMBER(L16),A16*(Tomato_Price-L16)-Fixed_Costs,IF(A16&lt;=Tomato_Bed_Cap,"over labor cap",""))</f>
        <v>5582.05661373434</v>
      </c>
    </row>
    <row r="17" customFormat="false" ht="15" hidden="false" customHeight="true" outlineLevel="0" collapsed="false">
      <c r="A17" s="22" t="n">
        <f aca="false">ROW()-5</f>
        <v>12</v>
      </c>
      <c r="B17" s="18" t="n">
        <f aca="false">IF(A17&lt;=Tomato_Bed_Cap,A17*Tomato_Hours*Season*(1+Tomato_Dim_Return)^A17,"")</f>
        <v>3389.50264685868</v>
      </c>
      <c r="C17" s="18" t="n">
        <f aca="false">IF(A17&lt;=Tomato_Bed_Cap,B17-IF(ISNUMBER(B16),B16,0),"")</f>
        <v>564.917107809781</v>
      </c>
      <c r="D17" s="23" t="n">
        <f aca="false">IF(A17&lt;=Tomato_Bed_Cap,Tomato_Price,"")</f>
        <v>8800</v>
      </c>
      <c r="E17" s="23" t="n">
        <f aca="false">IF(A17&lt;=Tomato_Bed_Cap,Tomato_Fertizer,"")</f>
        <v>880</v>
      </c>
      <c r="F17" s="23" t="n">
        <f aca="false">IF(A17&lt;=Tomato_Bed_Cap,MAX(0,MIN((Carrot_Beds*Carrrot_Hours*Season*(1+Carrot_Dim_Return)^Carrot_Beds+Mesclun_Beds*Mesclun_Hours*Season*(1+Mesclun_Dim_Return)^Mesclun_Beds)+B17,Farmer_Hours)-MIN((Carrot_Beds*Carrrot_Hours*Season*(1+Carrot_Dim_Return)^Carrot_Beds+Mesclun_Beds*Mesclun_Hours*Season*(1+Mesclun_Dim_Return)^Mesclun_Beds)+IF(ISNUMBER(B16),B16,0),Farmer_Hours))*Farmer_Cost+(C17-MAX(0,MIN((Carrot_Beds*Carrrot_Hours*Season*(1+Carrot_Dim_Return)^Carrot_Beds+Mesclun_Beds*Mesclun_Hours*Season*(1+Mesclun_Dim_Return)^Mesclun_Beds)+B17,Farmer_Hours)-MIN((Carrot_Beds*Carrrot_Hours*Season*(1+Carrot_Dim_Return)^Carrot_Beds+Mesclun_Beds*Mesclun_Hours*Season*(1+Mesclun_Dim_Return)^Mesclun_Beds)+IF(ISNUMBER(B16),B16,0),Farmer_Hours)))*Temp_Worker_Cost,"")</f>
        <v>9807.58867725314</v>
      </c>
      <c r="G17" s="23" t="n">
        <f aca="false">IF(A17&lt;=Tomato_Bed_Cap,D17-E17-F17,"")</f>
        <v>-1887.58867725314</v>
      </c>
      <c r="H17" s="23" t="n">
        <f aca="false">IF(A17&lt;=Tomato_Bed_Cap,IF(ISNUMBER(H16),H16,0)+G17,"")</f>
        <v>36194.4679364812</v>
      </c>
      <c r="I17" s="24" t="str">
        <f aca="false">IF(AND(AND(ISNUMBER(G17),G17&lt;0,ISNUMBER(G16),G16&gt;=0),(A17=Tomato_Beds)),"&lt;- Cross-over &amp; Solver-selected",IF(AND(ISNUMBER(G17),G17&lt;0,ISNUMBER(G16),G16&gt;=0),"&lt;- Cross-over (next bed unprofitable)",IF((A17=Tomato_Beds),"&lt;- Solver-selected","")))</f>
        <v/>
      </c>
      <c r="J17" s="23" t="n">
        <f aca="false">IF(ISNUMBER(E17),E17+F17,"")</f>
        <v>10687.5886772531</v>
      </c>
      <c r="K17" s="23" t="n">
        <f aca="false">IF(A17&lt;=Tomato_Bed_Cap,IF(B17&gt;Farmer_Hours+Temp_Worker_Count*Temp_Worker_Hours_Each,"over labor cap",Tomato_Fertizer+(MIN(B17,Farmer_Hours)-MIN(N(B16),Farmer_Hours))*Farmer_Cost+(C17-(MIN(B17,Farmer_Hours)-MIN(N(B16),Farmer_Hours)))*Temp_Worker_Cost),"")</f>
        <v>10687.5886772531</v>
      </c>
      <c r="L17" s="23" t="n">
        <f aca="false">IF(A17&lt;=Tomato_Bed_Cap,IF(B17&gt;Farmer_Hours+Temp_Worker_Count*Temp_Worker_Hours_Each,"over labor cap",(A17*Tomato_Fertizer+MIN(B17,Farmer_Hours)*Farmer_Cost+MAX(B17-Farmer_Hours,0)*Temp_Worker_Cost)/A17),"")</f>
        <v>6825.46100529323</v>
      </c>
      <c r="M17" s="23" t="n">
        <f aca="false">IF(ISNUMBER(L17),A17*(Tomato_Price-L17)-Fixed_Costs,IF(A17&lt;=Tomato_Bed_Cap,"over labor cap",""))</f>
        <v>3694.46793648119</v>
      </c>
    </row>
    <row r="18" customFormat="false" ht="15" hidden="false" customHeight="true" outlineLevel="0" collapsed="false">
      <c r="A18" s="22" t="n">
        <f aca="false">ROW()-5</f>
        <v>13</v>
      </c>
      <c r="B18" s="18" t="n">
        <f aca="false">IF(A18&lt;=Tomato_Bed_Cap,A18*Tomato_Hours*Season*(1+Tomato_Dim_Return)^A18,"")</f>
        <v>4039.15732083993</v>
      </c>
      <c r="C18" s="18" t="n">
        <f aca="false">IF(A18&lt;=Tomato_Bed_Cap,B18-IF(ISNUMBER(B17),B17,0),"")</f>
        <v>649.654673981248</v>
      </c>
      <c r="D18" s="23" t="n">
        <f aca="false">IF(A18&lt;=Tomato_Bed_Cap,Tomato_Price,"")</f>
        <v>8800</v>
      </c>
      <c r="E18" s="23" t="n">
        <f aca="false">IF(A18&lt;=Tomato_Bed_Cap,Tomato_Fertizer,"")</f>
        <v>880</v>
      </c>
      <c r="F18" s="23" t="n">
        <f aca="false">IF(A18&lt;=Tomato_Bed_Cap,MAX(0,MIN((Carrot_Beds*Carrrot_Hours*Season*(1+Carrot_Dim_Return)^Carrot_Beds+Mesclun_Beds*Mesclun_Hours*Season*(1+Mesclun_Dim_Return)^Mesclun_Beds)+B18,Farmer_Hours)-MIN((Carrot_Beds*Carrrot_Hours*Season*(1+Carrot_Dim_Return)^Carrot_Beds+Mesclun_Beds*Mesclun_Hours*Season*(1+Mesclun_Dim_Return)^Mesclun_Beds)+IF(ISNUMBER(B17),B17,0),Farmer_Hours))*Farmer_Cost+(C18-MAX(0,MIN((Carrot_Beds*Carrrot_Hours*Season*(1+Carrot_Dim_Return)^Carrot_Beds+Mesclun_Beds*Mesclun_Hours*Season*(1+Mesclun_Dim_Return)^Mesclun_Beds)+B18,Farmer_Hours)-MIN((Carrot_Beds*Carrrot_Hours*Season*(1+Carrot_Dim_Return)^Carrot_Beds+Mesclun_Beds*Mesclun_Hours*Season*(1+Mesclun_Dim_Return)^Mesclun_Beds)+IF(ISNUMBER(B17),B17,0),Farmer_Hours)))*Temp_Worker_Cost,"")</f>
        <v>11278.7269788411</v>
      </c>
      <c r="G18" s="23" t="n">
        <f aca="false">IF(A18&lt;=Tomato_Bed_Cap,D18-E18-F18,"")</f>
        <v>-3358.72697884111</v>
      </c>
      <c r="H18" s="23" t="n">
        <f aca="false">IF(A18&lt;=Tomato_Bed_Cap,IF(ISNUMBER(H17),H17,0)+G18,"")</f>
        <v>32835.7409576401</v>
      </c>
      <c r="I18" s="24" t="str">
        <f aca="false">IF(AND(AND(ISNUMBER(G18),G18&lt;0,ISNUMBER(G17),G17&gt;=0),(A18=Tomato_Beds)),"&lt;- Cross-over &amp; Solver-selected",IF(AND(ISNUMBER(G18),G18&lt;0,ISNUMBER(G17),G17&gt;=0),"&lt;- Cross-over (next bed unprofitable)",IF((A18=Tomato_Beds),"&lt;- Solver-selected","")))</f>
        <v/>
      </c>
      <c r="J18" s="23" t="n">
        <f aca="false">IF(ISNUMBER(E18),E18+F18,"")</f>
        <v>12158.7269788411</v>
      </c>
      <c r="K18" s="23" t="n">
        <f aca="false">IF(A18&lt;=Tomato_Bed_Cap,IF(B18&gt;Farmer_Hours+Temp_Worker_Count*Temp_Worker_Hours_Each,"over labor cap",Tomato_Fertizer+(MIN(B18,Farmer_Hours)-MIN(N(B17),Farmer_Hours))*Farmer_Cost+(C18-(MIN(B18,Farmer_Hours)-MIN(N(B17),Farmer_Hours)))*Temp_Worker_Cost),"")</f>
        <v>12158.7269788411</v>
      </c>
      <c r="L18" s="23" t="n">
        <f aca="false">IF(A18&lt;=Tomato_Bed_Cap,IF(B18&gt;Farmer_Hours+Temp_Worker_Count*Temp_Worker_Hours_Each,"over labor cap",(A18*Tomato_Fertizer+MIN(B18,Farmer_Hours)*Farmer_Cost+MAX(B18-Farmer_Hours,0)*Temp_Worker_Cost)/A18),"")</f>
        <v>7235.71223402769</v>
      </c>
      <c r="M18" s="23" t="n">
        <f aca="false">IF(ISNUMBER(L18),A18*(Tomato_Price-L18)-Fixed_Costs,IF(A18&lt;=Tomato_Bed_Cap,"over labor cap",""))</f>
        <v>335.74095764009</v>
      </c>
    </row>
    <row r="19" customFormat="false" ht="15" hidden="false" customHeight="true" outlineLevel="0" collapsed="false">
      <c r="A19" s="22" t="n">
        <f aca="false">ROW()-5</f>
        <v>14</v>
      </c>
      <c r="B19" s="18" t="n">
        <f aca="false">IF(A19&lt;=Tomato_Bed_Cap,A19*Tomato_Hours*Season*(1+Tomato_Dim_Return)^A19,"")</f>
        <v>4784.84790314884</v>
      </c>
      <c r="C19" s="18" t="n">
        <f aca="false">IF(A19&lt;=Tomato_Bed_Cap,B19-IF(ISNUMBER(B18),B18,0),"")</f>
        <v>745.690582308911</v>
      </c>
      <c r="D19" s="23" t="n">
        <f aca="false">IF(A19&lt;=Tomato_Bed_Cap,Tomato_Price,"")</f>
        <v>8800</v>
      </c>
      <c r="E19" s="23" t="n">
        <f aca="false">IF(A19&lt;=Tomato_Bed_Cap,Tomato_Fertizer,"")</f>
        <v>880</v>
      </c>
      <c r="F19" s="23" t="n">
        <f aca="false">IF(A19&lt;=Tomato_Bed_Cap,MAX(0,MIN((Carrot_Beds*Carrrot_Hours*Season*(1+Carrot_Dim_Return)^Carrot_Beds+Mesclun_Beds*Mesclun_Hours*Season*(1+Mesclun_Dim_Return)^Mesclun_Beds)+B19,Farmer_Hours)-MIN((Carrot_Beds*Carrrot_Hours*Season*(1+Carrot_Dim_Return)^Carrot_Beds+Mesclun_Beds*Mesclun_Hours*Season*(1+Mesclun_Dim_Return)^Mesclun_Beds)+IF(ISNUMBER(B18),B18,0),Farmer_Hours))*Farmer_Cost+(C19-MAX(0,MIN((Carrot_Beds*Carrrot_Hours*Season*(1+Carrot_Dim_Return)^Carrot_Beds+Mesclun_Beds*Mesclun_Hours*Season*(1+Mesclun_Dim_Return)^Mesclun_Beds)+B19,Farmer_Hours)-MIN((Carrot_Beds*Carrrot_Hours*Season*(1+Carrot_Dim_Return)^Carrot_Beds+Mesclun_Beds*Mesclun_Hours*Season*(1+Mesclun_Dim_Return)^Mesclun_Beds)+IF(ISNUMBER(B18),B18,0),Farmer_Hours)))*Temp_Worker_Cost,"")</f>
        <v>12946.0170539741</v>
      </c>
      <c r="G19" s="23" t="n">
        <f aca="false">IF(A19&lt;=Tomato_Bed_Cap,D19-E19-F19,"")</f>
        <v>-5026.01705397415</v>
      </c>
      <c r="H19" s="23" t="n">
        <f aca="false">IF(A19&lt;=Tomato_Bed_Cap,IF(ISNUMBER(H18),H18,0)+G19,"")</f>
        <v>27809.723903666</v>
      </c>
      <c r="I19" s="24" t="str">
        <f aca="false">IF(AND(AND(ISNUMBER(G19),G19&lt;0,ISNUMBER(G18),G18&gt;=0),(A19=Tomato_Beds)),"&lt;- Cross-over &amp; Solver-selected",IF(AND(ISNUMBER(G19),G19&lt;0,ISNUMBER(G18),G18&gt;=0),"&lt;- Cross-over (next bed unprofitable)",IF((A19=Tomato_Beds),"&lt;- Solver-selected","")))</f>
        <v/>
      </c>
      <c r="J19" s="23" t="n">
        <f aca="false">IF(ISNUMBER(E19),E19+F19,"")</f>
        <v>13826.0170539741</v>
      </c>
      <c r="K19" s="23" t="n">
        <f aca="false">IF(A19&lt;=Tomato_Bed_Cap,IF(B19&gt;Farmer_Hours+Temp_Worker_Count*Temp_Worker_Hours_Each,"over labor cap",Tomato_Fertizer+(MIN(B19,Farmer_Hours)-MIN(N(B18),Farmer_Hours))*Farmer_Cost+(C19-(MIN(B19,Farmer_Hours)-MIN(N(B18),Farmer_Hours)))*Temp_Worker_Cost),"")</f>
        <v>13826.0170539741</v>
      </c>
      <c r="L19" s="23" t="n">
        <f aca="false">IF(A19&lt;=Tomato_Bed_Cap,IF(B19&gt;Farmer_Hours+Temp_Worker_Count*Temp_Worker_Hours_Each,"over labor cap",(A19*Tomato_Fertizer+MIN(B19,Farmer_Hours)*Farmer_Cost+MAX(B19-Farmer_Hours,0)*Temp_Worker_Cost)/A19),"")</f>
        <v>7706.44829259529</v>
      </c>
      <c r="M19" s="23" t="n">
        <f aca="false">IF(ISNUMBER(L19),A19*(Tomato_Price-L19)-Fixed_Costs,IF(A19&lt;=Tomato_Bed_Cap,"over labor cap",""))</f>
        <v>-4690.27609633407</v>
      </c>
    </row>
    <row r="20" customFormat="false" ht="15" hidden="false" customHeight="true" outlineLevel="0" collapsed="false">
      <c r="A20" s="22" t="n">
        <f aca="false">ROW()-5</f>
        <v>15</v>
      </c>
      <c r="B20" s="18" t="n">
        <f aca="false">IF(A20&lt;=Tomato_Bed_Cap,A20*Tomato_Hours*Season*(1+Tomato_Dim_Return)^A20,"")</f>
        <v>5639.28502871114</v>
      </c>
      <c r="C20" s="18" t="n">
        <f aca="false">IF(A20&lt;=Tomato_Bed_Cap,B20-IF(ISNUMBER(B19),B19,0),"")</f>
        <v>854.437125562294</v>
      </c>
      <c r="D20" s="23" t="n">
        <f aca="false">IF(A20&lt;=Tomato_Bed_Cap,Tomato_Price,"")</f>
        <v>8800</v>
      </c>
      <c r="E20" s="23" t="n">
        <f aca="false">IF(A20&lt;=Tomato_Bed_Cap,Tomato_Fertizer,"")</f>
        <v>880</v>
      </c>
      <c r="F20" s="23" t="n">
        <f aca="false">IF(A20&lt;=Tomato_Bed_Cap,MAX(0,MIN((Carrot_Beds*Carrrot_Hours*Season*(1+Carrot_Dim_Return)^Carrot_Beds+Mesclun_Beds*Mesclun_Hours*Season*(1+Mesclun_Dim_Return)^Mesclun_Beds)+B20,Farmer_Hours)-MIN((Carrot_Beds*Carrrot_Hours*Season*(1+Carrot_Dim_Return)^Carrot_Beds+Mesclun_Beds*Mesclun_Hours*Season*(1+Mesclun_Dim_Return)^Mesclun_Beds)+IF(ISNUMBER(B19),B19,0),Farmer_Hours))*Farmer_Cost+(C20-MAX(0,MIN((Carrot_Beds*Carrrot_Hours*Season*(1+Carrot_Dim_Return)^Carrot_Beds+Mesclun_Beds*Mesclun_Hours*Season*(1+Mesclun_Dim_Return)^Mesclun_Beds)+B20,Farmer_Hours)-MIN((Carrot_Beds*Carrrot_Hours*Season*(1+Carrot_Dim_Return)^Carrot_Beds+Mesclun_Beds*Mesclun_Hours*Season*(1+Mesclun_Dim_Return)^Mesclun_Beds)+IF(ISNUMBER(B19),B19,0),Farmer_Hours)))*Temp_Worker_Cost,"")</f>
        <v>14833.9778743454</v>
      </c>
      <c r="G20" s="23" t="n">
        <f aca="false">IF(A20&lt;=Tomato_Bed_Cap,D20-E20-F20,"")</f>
        <v>-6913.97787434538</v>
      </c>
      <c r="H20" s="23" t="n">
        <f aca="false">IF(A20&lt;=Tomato_Bed_Cap,IF(ISNUMBER(H19),H19,0)+G20,"")</f>
        <v>20895.7460293206</v>
      </c>
      <c r="I20" s="24" t="str">
        <f aca="false">IF(AND(AND(ISNUMBER(G20),G20&lt;0,ISNUMBER(G19),G19&gt;=0),(A20=Tomato_Beds)),"&lt;- Cross-over &amp; Solver-selected",IF(AND(ISNUMBER(G20),G20&lt;0,ISNUMBER(G19),G19&gt;=0),"&lt;- Cross-over (next bed unprofitable)",IF((A20=Tomato_Beds),"&lt;- Solver-selected","")))</f>
        <v/>
      </c>
      <c r="J20" s="23" t="n">
        <f aca="false">IF(ISNUMBER(E20),E20+F20,"")</f>
        <v>15713.9778743454</v>
      </c>
      <c r="K20" s="23" t="n">
        <f aca="false">IF(A20&lt;=Tomato_Bed_Cap,IF(B20&gt;Farmer_Hours+Temp_Worker_Count*Temp_Worker_Hours_Each,"over labor cap",Tomato_Fertizer+(MIN(B20,Farmer_Hours)-MIN(N(B19),Farmer_Hours))*Farmer_Cost+(C20-(MIN(B20,Farmer_Hours)-MIN(N(B19),Farmer_Hours)))*Temp_Worker_Cost),"")</f>
        <v>15713.9778743454</v>
      </c>
      <c r="L20" s="23" t="n">
        <f aca="false">IF(A20&lt;=Tomato_Bed_Cap,IF(B20&gt;Farmer_Hours+Temp_Worker_Count*Temp_Worker_Hours_Each,"over labor cap",(A20*Tomato_Fertizer+MIN(B20,Farmer_Hours)*Farmer_Cost+MAX(B20-Farmer_Hours,0)*Temp_Worker_Cost)/A20),"")</f>
        <v>8240.2835980453</v>
      </c>
      <c r="M20" s="23" t="n">
        <f aca="false">IF(ISNUMBER(L20),A20*(Tomato_Price-L20)-Fixed_Costs,IF(A20&lt;=Tomato_Bed_Cap,"over labor cap",""))</f>
        <v>-11604.2539706794</v>
      </c>
    </row>
    <row r="21" customFormat="false" ht="15" hidden="false" customHeight="true" outlineLevel="0" collapsed="false">
      <c r="A21" s="22" t="n">
        <f aca="false">ROW()-5</f>
        <v>16</v>
      </c>
      <c r="B21" s="18" t="n">
        <f aca="false">IF(A21&lt;=Tomato_Bed_Cap,A21*Tomato_Hours*Season*(1+Tomato_Dim_Return)^A21,"")</f>
        <v>6616.7611003544</v>
      </c>
      <c r="C21" s="18" t="n">
        <f aca="false">IF(A21&lt;=Tomato_Bed_Cap,B21-IF(ISNUMBER(B20),B20,0),"")</f>
        <v>977.476071643264</v>
      </c>
      <c r="D21" s="23" t="n">
        <f aca="false">IF(A21&lt;=Tomato_Bed_Cap,Tomato_Price,"")</f>
        <v>8800</v>
      </c>
      <c r="E21" s="23" t="n">
        <f aca="false">IF(A21&lt;=Tomato_Bed_Cap,Tomato_Fertizer,"")</f>
        <v>880</v>
      </c>
      <c r="F21" s="23" t="n">
        <f aca="false">IF(A21&lt;=Tomato_Bed_Cap,MAX(0,MIN((Carrot_Beds*Carrrot_Hours*Season*(1+Carrot_Dim_Return)^Carrot_Beds+Mesclun_Beds*Mesclun_Hours*Season*(1+Mesclun_Dim_Return)^Mesclun_Beds)+B21,Farmer_Hours)-MIN((Carrot_Beds*Carrrot_Hours*Season*(1+Carrot_Dim_Return)^Carrot_Beds+Mesclun_Beds*Mesclun_Hours*Season*(1+Mesclun_Dim_Return)^Mesclun_Beds)+IF(ISNUMBER(B20),B20,0),Farmer_Hours))*Farmer_Cost+(C21-MAX(0,MIN((Carrot_Beds*Carrrot_Hours*Season*(1+Carrot_Dim_Return)^Carrot_Beds+Mesclun_Beds*Mesclun_Hours*Season*(1+Mesclun_Dim_Return)^Mesclun_Beds)+B21,Farmer_Hours)-MIN((Carrot_Beds*Carrrot_Hours*Season*(1+Carrot_Dim_Return)^Carrot_Beds+Mesclun_Beds*Mesclun_Hours*Season*(1+Mesclun_Dim_Return)^Mesclun_Beds)+IF(ISNUMBER(B20),B20,0),Farmer_Hours)))*Temp_Worker_Cost,"")</f>
        <v>16970.0706882511</v>
      </c>
      <c r="G21" s="23" t="n">
        <f aca="false">IF(A21&lt;=Tomato_Bed_Cap,D21-E21-F21,"")</f>
        <v>-9050.07068825111</v>
      </c>
      <c r="H21" s="23" t="n">
        <f aca="false">IF(A21&lt;=Tomato_Bed_Cap,IF(ISNUMBER(H20),H20,0)+G21,"")</f>
        <v>11845.6753410695</v>
      </c>
      <c r="I21" s="24" t="str">
        <f aca="false">IF(AND(AND(ISNUMBER(G21),G21&lt;0,ISNUMBER(G20),G20&gt;=0),(A21=Tomato_Beds)),"&lt;- Cross-over &amp; Solver-selected",IF(AND(ISNUMBER(G21),G21&lt;0,ISNUMBER(G20),G20&gt;=0),"&lt;- Cross-over (next bed unprofitable)",IF((A21=Tomato_Beds),"&lt;- Solver-selected","")))</f>
        <v/>
      </c>
      <c r="J21" s="23" t="n">
        <f aca="false">IF(ISNUMBER(E21),E21+F21,"")</f>
        <v>17850.0706882511</v>
      </c>
      <c r="K21" s="23" t="str">
        <f aca="false">IF(A21&lt;=Tomato_Bed_Cap,IF(B21&gt;Farmer_Hours+Temp_Worker_Count*Temp_Worker_Hours_Each,"over labor cap",Tomato_Fertizer+(MIN(B21,Farmer_Hours)-MIN(N(B20),Farmer_Hours))*Farmer_Cost+(C21-(MIN(B21,Farmer_Hours)-MIN(N(B20),Farmer_Hours)))*Temp_Worker_Cost),"")</f>
        <v>over labor cap</v>
      </c>
      <c r="L21" s="23" t="str">
        <f aca="false">IF(A21&lt;=Tomato_Bed_Cap,IF(B21&gt;Farmer_Hours+Temp_Worker_Count*Temp_Worker_Hours_Each,"over labor cap",(A21*Tomato_Fertizer+MIN(B21,Farmer_Hours)*Farmer_Cost+MAX(B21-Farmer_Hours,0)*Temp_Worker_Cost)/A21),"")</f>
        <v>over labor cap</v>
      </c>
      <c r="M21" s="23" t="str">
        <f aca="false">IF(ISNUMBER(L21),A21*(Tomato_Price-L21)-Fixed_Costs,IF(A21&lt;=Tomato_Bed_Cap,"over labor cap",""))</f>
        <v>over labor cap</v>
      </c>
    </row>
    <row r="22" customFormat="false" ht="15" hidden="false" customHeight="true" outlineLevel="0" collapsed="false">
      <c r="A22" s="22" t="n">
        <f aca="false">ROW()-5</f>
        <v>17</v>
      </c>
      <c r="B22" s="18" t="n">
        <f aca="false">IF(A22&lt;=Tomato_Bed_Cap,A22*Tomato_Hours*Season*(1+Tomato_Dim_Return)^A22,"")</f>
        <v>7733.33953603921</v>
      </c>
      <c r="C22" s="18" t="n">
        <f aca="false">IF(A22&lt;=Tomato_Bed_Cap,B22-IF(ISNUMBER(B21),B21,0),"")</f>
        <v>1116.57843568481</v>
      </c>
      <c r="D22" s="23" t="n">
        <f aca="false">IF(A22&lt;=Tomato_Bed_Cap,Tomato_Price,"")</f>
        <v>8800</v>
      </c>
      <c r="E22" s="23" t="n">
        <f aca="false">IF(A22&lt;=Tomato_Bed_Cap,Tomato_Fertizer,"")</f>
        <v>880</v>
      </c>
      <c r="F22" s="23" t="n">
        <f aca="false">IF(A22&lt;=Tomato_Bed_Cap,MAX(0,MIN((Carrot_Beds*Carrrot_Hours*Season*(1+Carrot_Dim_Return)^Carrot_Beds+Mesclun_Beds*Mesclun_Hours*Season*(1+Mesclun_Dim_Return)^Mesclun_Beds)+B22,Farmer_Hours)-MIN((Carrot_Beds*Carrrot_Hours*Season*(1+Carrot_Dim_Return)^Carrot_Beds+Mesclun_Beds*Mesclun_Hours*Season*(1+Mesclun_Dim_Return)^Mesclun_Beds)+IF(ISNUMBER(B21),B21,0),Farmer_Hours))*Farmer_Cost+(C22-MAX(0,MIN((Carrot_Beds*Carrrot_Hours*Season*(1+Carrot_Dim_Return)^Carrot_Beds+Mesclun_Beds*Mesclun_Hours*Season*(1+Mesclun_Dim_Return)^Mesclun_Beds)+B22,Farmer_Hours)-MIN((Carrot_Beds*Carrrot_Hours*Season*(1+Carrot_Dim_Return)^Carrot_Beds+Mesclun_Beds*Mesclun_Hours*Season*(1+Mesclun_Dim_Return)^Mesclun_Beds)+IF(ISNUMBER(B21),B21,0),Farmer_Hours)))*Temp_Worker_Cost,"")</f>
        <v>19385.0422861946</v>
      </c>
      <c r="G22" s="23" t="n">
        <f aca="false">IF(A22&lt;=Tomato_Bed_Cap,D22-E22-F22,"")</f>
        <v>-11465.0422861946</v>
      </c>
      <c r="H22" s="23" t="n">
        <f aca="false">IF(A22&lt;=Tomato_Bed_Cap,IF(ISNUMBER(H21),H21,0)+G22,"")</f>
        <v>380.633054874914</v>
      </c>
      <c r="I22" s="24" t="str">
        <f aca="false">IF(AND(AND(ISNUMBER(G22),G22&lt;0,ISNUMBER(G21),G21&gt;=0),(A22=Tomato_Beds)),"&lt;- Cross-over &amp; Solver-selected",IF(AND(ISNUMBER(G22),G22&lt;0,ISNUMBER(G21),G21&gt;=0),"&lt;- Cross-over (next bed unprofitable)",IF((A22=Tomato_Beds),"&lt;- Solver-selected","")))</f>
        <v/>
      </c>
      <c r="J22" s="23" t="n">
        <f aca="false">IF(ISNUMBER(E22),E22+F22,"")</f>
        <v>20265.0422861946</v>
      </c>
      <c r="K22" s="23" t="str">
        <f aca="false">IF(A22&lt;=Tomato_Bed_Cap,IF(B22&gt;Farmer_Hours+Temp_Worker_Count*Temp_Worker_Hours_Each,"over labor cap",Tomato_Fertizer+(MIN(B22,Farmer_Hours)-MIN(N(B21),Farmer_Hours))*Farmer_Cost+(C22-(MIN(B22,Farmer_Hours)-MIN(N(B21),Farmer_Hours)))*Temp_Worker_Cost),"")</f>
        <v>over labor cap</v>
      </c>
      <c r="L22" s="23" t="str">
        <f aca="false">IF(A22&lt;=Tomato_Bed_Cap,IF(B22&gt;Farmer_Hours+Temp_Worker_Count*Temp_Worker_Hours_Each,"over labor cap",(A22*Tomato_Fertizer+MIN(B22,Farmer_Hours)*Farmer_Cost+MAX(B22-Farmer_Hours,0)*Temp_Worker_Cost)/A22),"")</f>
        <v>over labor cap</v>
      </c>
      <c r="M22" s="23" t="str">
        <f aca="false">IF(ISNUMBER(L22),A22*(Tomato_Price-L22)-Fixed_Costs,IF(A22&lt;=Tomato_Bed_Cap,"over labor cap",""))</f>
        <v>over labor cap</v>
      </c>
    </row>
    <row r="23" customFormat="false" ht="15" hidden="false" customHeight="true" outlineLevel="0" collapsed="false">
      <c r="A23" s="22" t="n">
        <f aca="false">ROW()-5</f>
        <v>18</v>
      </c>
      <c r="B23" s="18" t="n">
        <f aca="false">IF(A23&lt;=Tomato_Bed_Cap,A23*Tomato_Hours*Season*(1+Tomato_Dim_Return)^A23,"")</f>
        <v>9007.06604785743</v>
      </c>
      <c r="C23" s="18" t="n">
        <f aca="false">IF(A23&lt;=Tomato_Bed_Cap,B23-IF(ISNUMBER(B22),B22,0),"")</f>
        <v>1273.72651181822</v>
      </c>
      <c r="D23" s="23" t="n">
        <f aca="false">IF(A23&lt;=Tomato_Bed_Cap,Tomato_Price,"")</f>
        <v>8800</v>
      </c>
      <c r="E23" s="23" t="n">
        <f aca="false">IF(A23&lt;=Tomato_Bed_Cap,Tomato_Fertizer,"")</f>
        <v>880</v>
      </c>
      <c r="F23" s="23" t="n">
        <f aca="false">IF(A23&lt;=Tomato_Bed_Cap,MAX(0,MIN((Carrot_Beds*Carrrot_Hours*Season*(1+Carrot_Dim_Return)^Carrot_Beds+Mesclun_Beds*Mesclun_Hours*Season*(1+Mesclun_Dim_Return)^Mesclun_Beds)+B23,Farmer_Hours)-MIN((Carrot_Beds*Carrrot_Hours*Season*(1+Carrot_Dim_Return)^Carrot_Beds+Mesclun_Beds*Mesclun_Hours*Season*(1+Mesclun_Dim_Return)^Mesclun_Beds)+IF(ISNUMBER(B22),B22,0),Farmer_Hours))*Farmer_Cost+(C23-MAX(0,MIN((Carrot_Beds*Carrrot_Hours*Season*(1+Carrot_Dim_Return)^Carrot_Beds+Mesclun_Beds*Mesclun_Hours*Season*(1+Mesclun_Dim_Return)^Mesclun_Beds)+B23,Farmer_Hours)-MIN((Carrot_Beds*Carrrot_Hours*Season*(1+Carrot_Dim_Return)^Carrot_Beds+Mesclun_Beds*Mesclun_Hours*Season*(1+Mesclun_Dim_Return)^Mesclun_Beds)+IF(ISNUMBER(B22),B22,0),Farmer_Hours)))*Temp_Worker_Cost,"")</f>
        <v>22113.3074968441</v>
      </c>
      <c r="G23" s="23" t="n">
        <f aca="false">IF(A23&lt;=Tomato_Bed_Cap,D23-E23-F23,"")</f>
        <v>-14193.3074968441</v>
      </c>
      <c r="H23" s="23" t="n">
        <f aca="false">IF(A23&lt;=Tomato_Bed_Cap,IF(ISNUMBER(H22),H22,0)+G23,"")</f>
        <v>-13812.6744419692</v>
      </c>
      <c r="I23" s="24" t="str">
        <f aca="false">IF(AND(AND(ISNUMBER(G23),G23&lt;0,ISNUMBER(G22),G22&gt;=0),(A23=Tomato_Beds)),"&lt;- Cross-over &amp; Solver-selected",IF(AND(ISNUMBER(G23),G23&lt;0,ISNUMBER(G22),G22&gt;=0),"&lt;- Cross-over (next bed unprofitable)",IF((A23=Tomato_Beds),"&lt;- Solver-selected","")))</f>
        <v/>
      </c>
      <c r="J23" s="23" t="n">
        <f aca="false">IF(ISNUMBER(E23),E23+F23,"")</f>
        <v>22993.3074968441</v>
      </c>
      <c r="K23" s="23" t="str">
        <f aca="false">IF(A23&lt;=Tomato_Bed_Cap,IF(B23&gt;Farmer_Hours+Temp_Worker_Count*Temp_Worker_Hours_Each,"over labor cap",Tomato_Fertizer+(MIN(B23,Farmer_Hours)-MIN(N(B22),Farmer_Hours))*Farmer_Cost+(C23-(MIN(B23,Farmer_Hours)-MIN(N(B22),Farmer_Hours)))*Temp_Worker_Cost),"")</f>
        <v>over labor cap</v>
      </c>
      <c r="L23" s="23" t="str">
        <f aca="false">IF(A23&lt;=Tomato_Bed_Cap,IF(B23&gt;Farmer_Hours+Temp_Worker_Count*Temp_Worker_Hours_Each,"over labor cap",(A23*Tomato_Fertizer+MIN(B23,Farmer_Hours)*Farmer_Cost+MAX(B23-Farmer_Hours,0)*Temp_Worker_Cost)/A23),"")</f>
        <v>over labor cap</v>
      </c>
      <c r="M23" s="23" t="str">
        <f aca="false">IF(ISNUMBER(L23),A23*(Tomato_Price-L23)-Fixed_Costs,IF(A23&lt;=Tomato_Bed_Cap,"over labor cap",""))</f>
        <v>over labor cap</v>
      </c>
    </row>
    <row r="24" customFormat="false" ht="15" hidden="false" customHeight="true" outlineLevel="0" collapsed="false">
      <c r="A24" s="22" t="n">
        <f aca="false">ROW()-5</f>
        <v>19</v>
      </c>
      <c r="B24" s="18" t="n">
        <f aca="false">IF(A24&lt;=Tomato_Bed_Cap,A24*Tomato_Hours*Season*(1+Tomato_Dim_Return)^A24,"")</f>
        <v>10458.2044666789</v>
      </c>
      <c r="C24" s="18" t="n">
        <f aca="false">IF(A24&lt;=Tomato_Bed_Cap,B24-IF(ISNUMBER(B23),B23,0),"")</f>
        <v>1451.13841882148</v>
      </c>
      <c r="D24" s="23" t="n">
        <f aca="false">IF(A24&lt;=Tomato_Bed_Cap,Tomato_Price,"")</f>
        <v>8800</v>
      </c>
      <c r="E24" s="23" t="n">
        <f aca="false">IF(A24&lt;=Tomato_Bed_Cap,Tomato_Fertizer,"")</f>
        <v>880</v>
      </c>
      <c r="F24" s="23" t="n">
        <f aca="false">IF(A24&lt;=Tomato_Bed_Cap,MAX(0,MIN((Carrot_Beds*Carrrot_Hours*Season*(1+Carrot_Dim_Return)^Carrot_Beds+Mesclun_Beds*Mesclun_Hours*Season*(1+Mesclun_Dim_Return)^Mesclun_Beds)+B24,Farmer_Hours)-MIN((Carrot_Beds*Carrrot_Hours*Season*(1+Carrot_Dim_Return)^Carrot_Beds+Mesclun_Beds*Mesclun_Hours*Season*(1+Mesclun_Dim_Return)^Mesclun_Beds)+IF(ISNUMBER(B23),B23,0),Farmer_Hours))*Farmer_Cost+(C24-MAX(0,MIN((Carrot_Beds*Carrrot_Hours*Season*(1+Carrot_Dim_Return)^Carrot_Beds+Mesclun_Beds*Mesclun_Hours*Season*(1+Mesclun_Dim_Return)^Mesclun_Beds)+B24,Farmer_Hours)-MIN((Carrot_Beds*Carrrot_Hours*Season*(1+Carrot_Dim_Return)^Carrot_Beds+Mesclun_Beds*Mesclun_Hours*Season*(1+Mesclun_Dim_Return)^Mesclun_Beds)+IF(ISNUMBER(B23),B23,0),Farmer_Hours)))*Temp_Worker_Cost,"")</f>
        <v>25193.3753267617</v>
      </c>
      <c r="G24" s="23" t="n">
        <f aca="false">IF(A24&lt;=Tomato_Bed_Cap,D24-E24-F24,"")</f>
        <v>-17273.3753267617</v>
      </c>
      <c r="H24" s="23" t="n">
        <f aca="false">IF(A24&lt;=Tomato_Bed_Cap,IF(ISNUMBER(H23),H23,0)+G24,"")</f>
        <v>-31086.049768731</v>
      </c>
      <c r="I24" s="24" t="str">
        <f aca="false">IF(AND(AND(ISNUMBER(G24),G24&lt;0,ISNUMBER(G23),G23&gt;=0),(A24=Tomato_Beds)),"&lt;- Cross-over &amp; Solver-selected",IF(AND(ISNUMBER(G24),G24&lt;0,ISNUMBER(G23),G23&gt;=0),"&lt;- Cross-over (next bed unprofitable)",IF((A24=Tomato_Beds),"&lt;- Solver-selected","")))</f>
        <v/>
      </c>
      <c r="J24" s="23" t="n">
        <f aca="false">IF(ISNUMBER(E24),E24+F24,"")</f>
        <v>26073.3753267617</v>
      </c>
      <c r="K24" s="23" t="str">
        <f aca="false">IF(A24&lt;=Tomato_Bed_Cap,IF(B24&gt;Farmer_Hours+Temp_Worker_Count*Temp_Worker_Hours_Each,"over labor cap",Tomato_Fertizer+(MIN(B24,Farmer_Hours)-MIN(N(B23),Farmer_Hours))*Farmer_Cost+(C24-(MIN(B24,Farmer_Hours)-MIN(N(B23),Farmer_Hours)))*Temp_Worker_Cost),"")</f>
        <v>over labor cap</v>
      </c>
      <c r="L24" s="23" t="str">
        <f aca="false">IF(A24&lt;=Tomato_Bed_Cap,IF(B24&gt;Farmer_Hours+Temp_Worker_Count*Temp_Worker_Hours_Each,"over labor cap",(A24*Tomato_Fertizer+MIN(B24,Farmer_Hours)*Farmer_Cost+MAX(B24-Farmer_Hours,0)*Temp_Worker_Cost)/A24),"")</f>
        <v>over labor cap</v>
      </c>
      <c r="M24" s="23" t="str">
        <f aca="false">IF(ISNUMBER(L24),A24*(Tomato_Price-L24)-Fixed_Costs,IF(A24&lt;=Tomato_Bed_Cap,"over labor cap",""))</f>
        <v>over labor cap</v>
      </c>
    </row>
    <row r="25" customFormat="false" ht="15" hidden="false" customHeight="true" outlineLevel="0" collapsed="false">
      <c r="A25" s="22" t="n">
        <f aca="false">ROW()-5</f>
        <v>20</v>
      </c>
      <c r="B25" s="18" t="n">
        <f aca="false">IF(A25&lt;=Tomato_Bed_Cap,A25*Tomato_Hours*Season*(1+Tomato_Dim_Return)^A25,"")</f>
        <v>12109.4999087861</v>
      </c>
      <c r="C25" s="18" t="n">
        <f aca="false">IF(A25&lt;=Tomato_Bed_Cap,B25-IF(ISNUMBER(B24),B24,0),"")</f>
        <v>1651.2954421072</v>
      </c>
      <c r="D25" s="23" t="n">
        <f aca="false">IF(A25&lt;=Tomato_Bed_Cap,Tomato_Price,"")</f>
        <v>8800</v>
      </c>
      <c r="E25" s="23" t="n">
        <f aca="false">IF(A25&lt;=Tomato_Bed_Cap,Tomato_Fertizer,"")</f>
        <v>880</v>
      </c>
      <c r="F25" s="23" t="n">
        <f aca="false">IF(A25&lt;=Tomato_Bed_Cap,MAX(0,MIN((Carrot_Beds*Carrrot_Hours*Season*(1+Carrot_Dim_Return)^Carrot_Beds+Mesclun_Beds*Mesclun_Hours*Season*(1+Mesclun_Dim_Return)^Mesclun_Beds)+B25,Farmer_Hours)-MIN((Carrot_Beds*Carrrot_Hours*Season*(1+Carrot_Dim_Return)^Carrot_Beds+Mesclun_Beds*Mesclun_Hours*Season*(1+Mesclun_Dim_Return)^Mesclun_Beds)+IF(ISNUMBER(B24),B24,0),Farmer_Hours))*Farmer_Cost+(C25-MAX(0,MIN((Carrot_Beds*Carrrot_Hours*Season*(1+Carrot_Dim_Return)^Carrot_Beds+Mesclun_Beds*Mesclun_Hours*Season*(1+Mesclun_Dim_Return)^Mesclun_Beds)+B25,Farmer_Hours)-MIN((Carrot_Beds*Carrrot_Hours*Season*(1+Carrot_Dim_Return)^Carrot_Beds+Mesclun_Beds*Mesclun_Hours*Season*(1+Mesclun_Dim_Return)^Mesclun_Beds)+IF(ISNUMBER(B24),B24,0),Farmer_Hours)))*Temp_Worker_Cost,"")</f>
        <v>28668.3236476944</v>
      </c>
      <c r="G25" s="23" t="n">
        <f aca="false">IF(A25&lt;=Tomato_Bed_Cap,D25-E25-F25,"")</f>
        <v>-20748.3236476944</v>
      </c>
      <c r="H25" s="23" t="n">
        <f aca="false">IF(A25&lt;=Tomato_Bed_Cap,IF(ISNUMBER(H24),H24,0)+G25,"")</f>
        <v>-51834.3734164253</v>
      </c>
      <c r="I25" s="24" t="str">
        <f aca="false">IF(AND(AND(ISNUMBER(G25),G25&lt;0,ISNUMBER(G24),G24&gt;=0),(A25=Tomato_Beds)),"&lt;- Cross-over &amp; Solver-selected",IF(AND(ISNUMBER(G25),G25&lt;0,ISNUMBER(G24),G24&gt;=0),"&lt;- Cross-over (next bed unprofitable)",IF((A25=Tomato_Beds),"&lt;- Solver-selected","")))</f>
        <v/>
      </c>
      <c r="J25" s="23" t="n">
        <f aca="false">IF(ISNUMBER(E25),E25+F25,"")</f>
        <v>29548.3236476944</v>
      </c>
      <c r="K25" s="23" t="str">
        <f aca="false">IF(A25&lt;=Tomato_Bed_Cap,IF(B25&gt;Farmer_Hours+Temp_Worker_Count*Temp_Worker_Hours_Each,"over labor cap",Tomato_Fertizer+(MIN(B25,Farmer_Hours)-MIN(N(B24),Farmer_Hours))*Farmer_Cost+(C25-(MIN(B25,Farmer_Hours)-MIN(N(B24),Farmer_Hours)))*Temp_Worker_Cost),"")</f>
        <v>over labor cap</v>
      </c>
      <c r="L25" s="23" t="str">
        <f aca="false">IF(A25&lt;=Tomato_Bed_Cap,IF(B25&gt;Farmer_Hours+Temp_Worker_Count*Temp_Worker_Hours_Each,"over labor cap",(A25*Tomato_Fertizer+MIN(B25,Farmer_Hours)*Farmer_Cost+MAX(B25-Farmer_Hours,0)*Temp_Worker_Cost)/A25),"")</f>
        <v>over labor cap</v>
      </c>
      <c r="M25" s="23" t="str">
        <f aca="false">IF(ISNUMBER(L25),A25*(Tomato_Price-L25)-Fixed_Costs,IF(A25&lt;=Tomato_Bed_Cap,"over labor cap",""))</f>
        <v>over labor cap</v>
      </c>
    </row>
    <row r="26" customFormat="false" ht="15" hidden="false" customHeight="true" outlineLevel="0" collapsed="false">
      <c r="A26" s="22" t="n">
        <f aca="false">ROW()-5</f>
        <v>21</v>
      </c>
      <c r="B26" s="18" t="str">
        <f aca="false">IF(A26&lt;=Tomato_Bed_Cap,A26*Tomato_Hours*Season*(1+Tomato_Dim_Return)^A26,"")</f>
        <v/>
      </c>
      <c r="C26" s="18" t="str">
        <f aca="false">IF(A26&lt;=Tomato_Bed_Cap,B26-IF(ISNUMBER(B25),B25,0),"")</f>
        <v/>
      </c>
      <c r="D26" s="23" t="str">
        <f aca="false">IF(A26&lt;=Tomato_Bed_Cap,Tomato_Price,"")</f>
        <v/>
      </c>
      <c r="E26" s="23" t="str">
        <f aca="false">IF(A26&lt;=Tomato_Bed_Cap,Tomato_Fertizer,"")</f>
        <v/>
      </c>
      <c r="F26" s="23" t="str">
        <f aca="false">IF(A26&lt;=Tomato_Bed_Cap,C26*Blended_Labor_Rate,"")</f>
        <v/>
      </c>
      <c r="G26" s="23" t="str">
        <f aca="false">IF(A26&lt;=Tomato_Bed_Cap,D26-E26-F26,"")</f>
        <v/>
      </c>
      <c r="H26" s="23" t="str">
        <f aca="false">IF(A26&lt;=Tomato_Bed_Cap,IF(ISNUMBER(H25),H25,0)+G26,"")</f>
        <v/>
      </c>
      <c r="I26" s="24" t="str">
        <f aca="false">IF(AND(AND(ISNUMBER(G26),G26&lt;0,ISNUMBER(G25),G25&gt;=0),(A26=Tomato_Beds)),"&lt;- Cross-over &amp; Solver-selected",IF(AND(ISNUMBER(G26),G26&lt;0,ISNUMBER(G25),G25&gt;=0),"&lt;- Cross-over (next bed unprofitable)",IF((A26=Tomato_Beds),"&lt;- Solver-selected","")))</f>
        <v/>
      </c>
      <c r="J26" s="23" t="str">
        <f aca="false">IF(ISNUMBER(E26),E26+F26,"")</f>
        <v/>
      </c>
      <c r="K26" s="23" t="str">
        <f aca="false">IF(A26&lt;=Tomato_Bed_Cap,IF(B26&gt;Farmer_Hours+Temp_Worker_Count*Temp_Worker_Hours_Each,"over labor cap",Tomato_Fertizer+(MIN(B26,Farmer_Hours)-MIN(N(B25),Farmer_Hours))*Farmer_Cost+(C26-(MIN(B26,Farmer_Hours)-MIN(N(B25),Farmer_Hours)))*Temp_Worker_Cost),"")</f>
        <v/>
      </c>
      <c r="L26" s="23" t="str">
        <f aca="false">IF(A26&lt;=Tomato_Bed_Cap,IF(B26&gt;Farmer_Hours+Temp_Worker_Count*Temp_Worker_Hours_Each,"over labor cap",(A26*Tomato_Fertizer+MIN(B26,Farmer_Hours)*Farmer_Cost+MAX(B26-Farmer_Hours,0)*Temp_Worker_Cost)/A26),"")</f>
        <v/>
      </c>
      <c r="M26" s="23" t="str">
        <f aca="false">IF(ISNUMBER(L26),A26*(Tomato_Price-L26)-Fixed_Costs,IF(A26&lt;=Tomato_Bed_Cap,"over labor cap",""))</f>
        <v/>
      </c>
    </row>
    <row r="27" customFormat="false" ht="15" hidden="false" customHeight="true" outlineLevel="0" collapsed="false">
      <c r="A27" s="22" t="n">
        <f aca="false">ROW()-5</f>
        <v>22</v>
      </c>
      <c r="B27" s="18" t="str">
        <f aca="false">IF(A27&lt;=Tomato_Bed_Cap,A27*Tomato_Hours*Season*(1+Tomato_Dim_Return)^A27,"")</f>
        <v/>
      </c>
      <c r="C27" s="18" t="str">
        <f aca="false">IF(A27&lt;=Tomato_Bed_Cap,B27-IF(ISNUMBER(B26),B26,0),"")</f>
        <v/>
      </c>
      <c r="D27" s="23" t="str">
        <f aca="false">IF(A27&lt;=Tomato_Bed_Cap,Tomato_Price,"")</f>
        <v/>
      </c>
      <c r="E27" s="23" t="str">
        <f aca="false">IF(A27&lt;=Tomato_Bed_Cap,Tomato_Fertizer,"")</f>
        <v/>
      </c>
      <c r="F27" s="23" t="str">
        <f aca="false">IF(A27&lt;=Tomato_Bed_Cap,C27*Blended_Labor_Rate,"")</f>
        <v/>
      </c>
      <c r="G27" s="23" t="str">
        <f aca="false">IF(A27&lt;=Tomato_Bed_Cap,D27-E27-F27,"")</f>
        <v/>
      </c>
      <c r="H27" s="23" t="str">
        <f aca="false">IF(A27&lt;=Tomato_Bed_Cap,IF(ISNUMBER(H26),H26,0)+G27,"")</f>
        <v/>
      </c>
      <c r="I27" s="24" t="str">
        <f aca="false">IF(AND(AND(ISNUMBER(G27),G27&lt;0,ISNUMBER(G26),G26&gt;=0),(A27=Tomato_Beds)),"&lt;- Cross-over &amp; Solver-selected",IF(AND(ISNUMBER(G27),G27&lt;0,ISNUMBER(G26),G26&gt;=0),"&lt;- Cross-over (next bed unprofitable)",IF((A27=Tomato_Beds),"&lt;- Solver-selected","")))</f>
        <v/>
      </c>
      <c r="J27" s="23" t="str">
        <f aca="false">IF(ISNUMBER(E27),E27+F27,"")</f>
        <v/>
      </c>
      <c r="K27" s="23" t="str">
        <f aca="false">IF(A27&lt;=Tomato_Bed_Cap,IF(B27&gt;Farmer_Hours+Temp_Worker_Count*Temp_Worker_Hours_Each,"over labor cap",Tomato_Fertizer+(MIN(B27,Farmer_Hours)-MIN(N(B26),Farmer_Hours))*Farmer_Cost+(C27-(MIN(B27,Farmer_Hours)-MIN(N(B26),Farmer_Hours)))*Temp_Worker_Cost),"")</f>
        <v/>
      </c>
      <c r="L27" s="23" t="str">
        <f aca="false">IF(A27&lt;=Tomato_Bed_Cap,IF(B27&gt;Farmer_Hours+Temp_Worker_Count*Temp_Worker_Hours_Each,"over labor cap",(A27*Tomato_Fertizer+MIN(B27,Farmer_Hours)*Farmer_Cost+MAX(B27-Farmer_Hours,0)*Temp_Worker_Cost)/A27),"")</f>
        <v/>
      </c>
      <c r="M27" s="23" t="str">
        <f aca="false">IF(ISNUMBER(L27),A27*(Tomato_Price-L27)-Fixed_Costs,IF(A27&lt;=Tomato_Bed_Cap,"over labor cap",""))</f>
        <v/>
      </c>
    </row>
    <row r="28" customFormat="false" ht="15" hidden="false" customHeight="true" outlineLevel="0" collapsed="false">
      <c r="A28" s="22" t="n">
        <f aca="false">ROW()-5</f>
        <v>23</v>
      </c>
      <c r="B28" s="18" t="str">
        <f aca="false">IF(A28&lt;=Tomato_Bed_Cap,A28*Tomato_Hours*Season*(1+Tomato_Dim_Return)^A28,"")</f>
        <v/>
      </c>
      <c r="C28" s="18" t="str">
        <f aca="false">IF(A28&lt;=Tomato_Bed_Cap,B28-IF(ISNUMBER(B27),B27,0),"")</f>
        <v/>
      </c>
      <c r="D28" s="23" t="str">
        <f aca="false">IF(A28&lt;=Tomato_Bed_Cap,Tomato_Price,"")</f>
        <v/>
      </c>
      <c r="E28" s="23" t="str">
        <f aca="false">IF(A28&lt;=Tomato_Bed_Cap,Tomato_Fertizer,"")</f>
        <v/>
      </c>
      <c r="F28" s="23" t="str">
        <f aca="false">IF(A28&lt;=Tomato_Bed_Cap,C28*Blended_Labor_Rate,"")</f>
        <v/>
      </c>
      <c r="G28" s="23" t="str">
        <f aca="false">IF(A28&lt;=Tomato_Bed_Cap,D28-E28-F28,"")</f>
        <v/>
      </c>
      <c r="H28" s="23" t="str">
        <f aca="false">IF(A28&lt;=Tomato_Bed_Cap,IF(ISNUMBER(H27),H27,0)+G28,"")</f>
        <v/>
      </c>
      <c r="I28" s="24" t="str">
        <f aca="false">IF(AND(AND(ISNUMBER(G28),G28&lt;0,ISNUMBER(G27),G27&gt;=0),(A28=Tomato_Beds)),"&lt;- Cross-over &amp; Solver-selected",IF(AND(ISNUMBER(G28),G28&lt;0,ISNUMBER(G27),G27&gt;=0),"&lt;- Cross-over (next bed unprofitable)",IF((A28=Tomato_Beds),"&lt;- Solver-selected","")))</f>
        <v/>
      </c>
      <c r="J28" s="23" t="str">
        <f aca="false">IF(ISNUMBER(E28),E28+F28,"")</f>
        <v/>
      </c>
      <c r="K28" s="23" t="str">
        <f aca="false">IF(A28&lt;=Tomato_Bed_Cap,IF(B28&gt;Farmer_Hours+Temp_Worker_Count*Temp_Worker_Hours_Each,"over labor cap",Tomato_Fertizer+(MIN(B28,Farmer_Hours)-MIN(N(B27),Farmer_Hours))*Farmer_Cost+(C28-(MIN(B28,Farmer_Hours)-MIN(N(B27),Farmer_Hours)))*Temp_Worker_Cost),"")</f>
        <v/>
      </c>
      <c r="L28" s="23" t="str">
        <f aca="false">IF(A28&lt;=Tomato_Bed_Cap,IF(B28&gt;Farmer_Hours+Temp_Worker_Count*Temp_Worker_Hours_Each,"over labor cap",(A28*Tomato_Fertizer+MIN(B28,Farmer_Hours)*Farmer_Cost+MAX(B28-Farmer_Hours,0)*Temp_Worker_Cost)/A28),"")</f>
        <v/>
      </c>
      <c r="M28" s="23" t="str">
        <f aca="false">IF(ISNUMBER(L28),A28*(Tomato_Price-L28)-Fixed_Costs,IF(A28&lt;=Tomato_Bed_Cap,"over labor cap",""))</f>
        <v/>
      </c>
    </row>
    <row r="29" customFormat="false" ht="15" hidden="false" customHeight="true" outlineLevel="0" collapsed="false">
      <c r="A29" s="22" t="n">
        <f aca="false">ROW()-5</f>
        <v>24</v>
      </c>
      <c r="B29" s="18" t="str">
        <f aca="false">IF(A29&lt;=Tomato_Bed_Cap,A29*Tomato_Hours*Season*(1+Tomato_Dim_Return)^A29,"")</f>
        <v/>
      </c>
      <c r="C29" s="18" t="str">
        <f aca="false">IF(A29&lt;=Tomato_Bed_Cap,B29-IF(ISNUMBER(B28),B28,0),"")</f>
        <v/>
      </c>
      <c r="D29" s="23" t="str">
        <f aca="false">IF(A29&lt;=Tomato_Bed_Cap,Tomato_Price,"")</f>
        <v/>
      </c>
      <c r="E29" s="23" t="str">
        <f aca="false">IF(A29&lt;=Tomato_Bed_Cap,Tomato_Fertizer,"")</f>
        <v/>
      </c>
      <c r="F29" s="23" t="str">
        <f aca="false">IF(A29&lt;=Tomato_Bed_Cap,C29*Blended_Labor_Rate,"")</f>
        <v/>
      </c>
      <c r="G29" s="23" t="str">
        <f aca="false">IF(A29&lt;=Tomato_Bed_Cap,D29-E29-F29,"")</f>
        <v/>
      </c>
      <c r="H29" s="23" t="str">
        <f aca="false">IF(A29&lt;=Tomato_Bed_Cap,IF(ISNUMBER(H28),H28,0)+G29,"")</f>
        <v/>
      </c>
      <c r="I29" s="24" t="str">
        <f aca="false">IF(AND(AND(ISNUMBER(G29),G29&lt;0,ISNUMBER(G28),G28&gt;=0),(A29=Tomato_Beds)),"&lt;- Cross-over &amp; Solver-selected",IF(AND(ISNUMBER(G29),G29&lt;0,ISNUMBER(G28),G28&gt;=0),"&lt;- Cross-over (next bed unprofitable)",IF((A29=Tomato_Beds),"&lt;- Solver-selected","")))</f>
        <v/>
      </c>
      <c r="J29" s="23" t="str">
        <f aca="false">IF(ISNUMBER(E29),E29+F29,"")</f>
        <v/>
      </c>
      <c r="K29" s="23" t="str">
        <f aca="false">IF(A29&lt;=Tomato_Bed_Cap,IF(B29&gt;Farmer_Hours+Temp_Worker_Count*Temp_Worker_Hours_Each,"over labor cap",Tomato_Fertizer+(MIN(B29,Farmer_Hours)-MIN(N(B28),Farmer_Hours))*Farmer_Cost+(C29-(MIN(B29,Farmer_Hours)-MIN(N(B28),Farmer_Hours)))*Temp_Worker_Cost),"")</f>
        <v/>
      </c>
      <c r="L29" s="23" t="str">
        <f aca="false">IF(A29&lt;=Tomato_Bed_Cap,IF(B29&gt;Farmer_Hours+Temp_Worker_Count*Temp_Worker_Hours_Each,"over labor cap",(A29*Tomato_Fertizer+MIN(B29,Farmer_Hours)*Farmer_Cost+MAX(B29-Farmer_Hours,0)*Temp_Worker_Cost)/A29),"")</f>
        <v/>
      </c>
      <c r="M29" s="23" t="str">
        <f aca="false">IF(ISNUMBER(L29),A29*(Tomato_Price-L29)-Fixed_Costs,IF(A29&lt;=Tomato_Bed_Cap,"over labor cap",""))</f>
        <v/>
      </c>
    </row>
    <row r="30" customFormat="false" ht="15" hidden="false" customHeight="true" outlineLevel="0" collapsed="false">
      <c r="A30" s="22" t="n">
        <f aca="false">ROW()-5</f>
        <v>25</v>
      </c>
      <c r="B30" s="18" t="str">
        <f aca="false">IF(A30&lt;=Tomato_Bed_Cap,A30*Tomato_Hours*Season*(1+Tomato_Dim_Return)^A30,"")</f>
        <v/>
      </c>
      <c r="C30" s="18" t="str">
        <f aca="false">IF(A30&lt;=Tomato_Bed_Cap,B30-IF(ISNUMBER(B29),B29,0),"")</f>
        <v/>
      </c>
      <c r="D30" s="23" t="str">
        <f aca="false">IF(A30&lt;=Tomato_Bed_Cap,Tomato_Price,"")</f>
        <v/>
      </c>
      <c r="E30" s="23" t="str">
        <f aca="false">IF(A30&lt;=Tomato_Bed_Cap,Tomato_Fertizer,"")</f>
        <v/>
      </c>
      <c r="F30" s="23" t="str">
        <f aca="false">IF(A30&lt;=Tomato_Bed_Cap,C30*Blended_Labor_Rate,"")</f>
        <v/>
      </c>
      <c r="G30" s="23" t="str">
        <f aca="false">IF(A30&lt;=Tomato_Bed_Cap,D30-E30-F30,"")</f>
        <v/>
      </c>
      <c r="H30" s="23" t="str">
        <f aca="false">IF(A30&lt;=Tomato_Bed_Cap,IF(ISNUMBER(H29),H29,0)+G30,"")</f>
        <v/>
      </c>
      <c r="I30" s="24" t="str">
        <f aca="false">IF(AND(AND(ISNUMBER(G30),G30&lt;0,ISNUMBER(G29),G29&gt;=0),(A30=Tomato_Beds)),"&lt;- Cross-over &amp; Solver-selected",IF(AND(ISNUMBER(G30),G30&lt;0,ISNUMBER(G29),G29&gt;=0),"&lt;- Cross-over (next bed unprofitable)",IF((A30=Tomato_Beds),"&lt;- Solver-selected","")))</f>
        <v/>
      </c>
      <c r="J30" s="23" t="str">
        <f aca="false">IF(ISNUMBER(E30),E30+F30,"")</f>
        <v/>
      </c>
      <c r="K30" s="23" t="str">
        <f aca="false">IF(A30&lt;=Tomato_Bed_Cap,IF(B30&gt;Farmer_Hours+Temp_Worker_Count*Temp_Worker_Hours_Each,"over labor cap",Tomato_Fertizer+(MIN(B30,Farmer_Hours)-MIN(N(B29),Farmer_Hours))*Farmer_Cost+(C30-(MIN(B30,Farmer_Hours)-MIN(N(B29),Farmer_Hours)))*Temp_Worker_Cost),"")</f>
        <v/>
      </c>
      <c r="L30" s="23" t="str">
        <f aca="false">IF(A30&lt;=Tomato_Bed_Cap,IF(B30&gt;Farmer_Hours+Temp_Worker_Count*Temp_Worker_Hours_Each,"over labor cap",(A30*Tomato_Fertizer+MIN(B30,Farmer_Hours)*Farmer_Cost+MAX(B30-Farmer_Hours,0)*Temp_Worker_Cost)/A30),"")</f>
        <v/>
      </c>
      <c r="M30" s="23" t="str">
        <f aca="false">IF(ISNUMBER(L30),A30*(Tomato_Price-L30)-Fixed_Costs,IF(A30&lt;=Tomato_Bed_Cap,"over labor cap",""))</f>
        <v/>
      </c>
    </row>
    <row r="31" customFormat="false" ht="15" hidden="false" customHeight="true" outlineLevel="0" collapsed="false">
      <c r="A31" s="22" t="n">
        <f aca="false">ROW()-5</f>
        <v>26</v>
      </c>
      <c r="B31" s="18" t="str">
        <f aca="false">IF(A31&lt;=Tomato_Bed_Cap,A31*Tomato_Hours*Season*(1+Tomato_Dim_Return)^A31,"")</f>
        <v/>
      </c>
      <c r="C31" s="18" t="str">
        <f aca="false">IF(A31&lt;=Tomato_Bed_Cap,B31-IF(ISNUMBER(B30),B30,0),"")</f>
        <v/>
      </c>
      <c r="D31" s="23" t="str">
        <f aca="false">IF(A31&lt;=Tomato_Bed_Cap,Tomato_Price,"")</f>
        <v/>
      </c>
      <c r="E31" s="23" t="str">
        <f aca="false">IF(A31&lt;=Tomato_Bed_Cap,Tomato_Fertizer,"")</f>
        <v/>
      </c>
      <c r="F31" s="23" t="str">
        <f aca="false">IF(A31&lt;=Tomato_Bed_Cap,C31*Blended_Labor_Rate,"")</f>
        <v/>
      </c>
      <c r="G31" s="23" t="str">
        <f aca="false">IF(A31&lt;=Tomato_Bed_Cap,D31-E31-F31,"")</f>
        <v/>
      </c>
      <c r="H31" s="23" t="str">
        <f aca="false">IF(A31&lt;=Tomato_Bed_Cap,IF(ISNUMBER(H30),H30,0)+G31,"")</f>
        <v/>
      </c>
      <c r="I31" s="24" t="str">
        <f aca="false">IF(AND(AND(ISNUMBER(G31),G31&lt;0,ISNUMBER(G30),G30&gt;=0),(A31=Tomato_Beds)),"&lt;- Cross-over &amp; Solver-selected",IF(AND(ISNUMBER(G31),G31&lt;0,ISNUMBER(G30),G30&gt;=0),"&lt;- Cross-over (next bed unprofitable)",IF((A31=Tomato_Beds),"&lt;- Solver-selected","")))</f>
        <v/>
      </c>
      <c r="J31" s="23" t="str">
        <f aca="false">IF(ISNUMBER(E31),E31+F31,"")</f>
        <v/>
      </c>
      <c r="K31" s="23" t="str">
        <f aca="false">IF(A31&lt;=Tomato_Bed_Cap,IF(B31&gt;Farmer_Hours+Temp_Worker_Count*Temp_Worker_Hours_Each,"over labor cap",Tomato_Fertizer+(MIN(B31,Farmer_Hours)-MIN(N(B30),Farmer_Hours))*Farmer_Cost+(C31-(MIN(B31,Farmer_Hours)-MIN(N(B30),Farmer_Hours)))*Temp_Worker_Cost),"")</f>
        <v/>
      </c>
      <c r="L31" s="23" t="str">
        <f aca="false">IF(A31&lt;=Tomato_Bed_Cap,IF(B31&gt;Farmer_Hours+Temp_Worker_Count*Temp_Worker_Hours_Each,"over labor cap",(A31*Tomato_Fertizer+MIN(B31,Farmer_Hours)*Farmer_Cost+MAX(B31-Farmer_Hours,0)*Temp_Worker_Cost)/A31),"")</f>
        <v/>
      </c>
      <c r="M31" s="23" t="str">
        <f aca="false">IF(ISNUMBER(L31),A31*(Tomato_Price-L31)-Fixed_Costs,IF(A31&lt;=Tomato_Bed_Cap,"over labor cap",""))</f>
        <v/>
      </c>
    </row>
    <row r="32" customFormat="false" ht="15" hidden="false" customHeight="true" outlineLevel="0" collapsed="false">
      <c r="A32" s="22" t="n">
        <f aca="false">ROW()-5</f>
        <v>27</v>
      </c>
      <c r="B32" s="18" t="str">
        <f aca="false">IF(A32&lt;=Tomato_Bed_Cap,A32*Tomato_Hours*Season*(1+Tomato_Dim_Return)^A32,"")</f>
        <v/>
      </c>
      <c r="C32" s="18" t="str">
        <f aca="false">IF(A32&lt;=Tomato_Bed_Cap,B32-IF(ISNUMBER(B31),B31,0),"")</f>
        <v/>
      </c>
      <c r="D32" s="23" t="str">
        <f aca="false">IF(A32&lt;=Tomato_Bed_Cap,Tomato_Price,"")</f>
        <v/>
      </c>
      <c r="E32" s="23" t="str">
        <f aca="false">IF(A32&lt;=Tomato_Bed_Cap,Tomato_Fertizer,"")</f>
        <v/>
      </c>
      <c r="F32" s="23" t="str">
        <f aca="false">IF(A32&lt;=Tomato_Bed_Cap,C32*Blended_Labor_Rate,"")</f>
        <v/>
      </c>
      <c r="G32" s="23" t="str">
        <f aca="false">IF(A32&lt;=Tomato_Bed_Cap,D32-E32-F32,"")</f>
        <v/>
      </c>
      <c r="H32" s="23" t="str">
        <f aca="false">IF(A32&lt;=Tomato_Bed_Cap,IF(ISNUMBER(H31),H31,0)+G32,"")</f>
        <v/>
      </c>
      <c r="I32" s="24" t="str">
        <f aca="false">IF(AND(AND(ISNUMBER(G32),G32&lt;0,ISNUMBER(G31),G31&gt;=0),(A32=Tomato_Beds)),"&lt;- Cross-over &amp; Solver-selected",IF(AND(ISNUMBER(G32),G32&lt;0,ISNUMBER(G31),G31&gt;=0),"&lt;- Cross-over (next bed unprofitable)",IF((A32=Tomato_Beds),"&lt;- Solver-selected","")))</f>
        <v/>
      </c>
      <c r="J32" s="23" t="str">
        <f aca="false">IF(ISNUMBER(E32),E32+F32,"")</f>
        <v/>
      </c>
      <c r="K32" s="23" t="str">
        <f aca="false">IF(A32&lt;=Tomato_Bed_Cap,IF(B32&gt;Farmer_Hours+Temp_Worker_Count*Temp_Worker_Hours_Each,"over labor cap",Tomato_Fertizer+(MIN(B32,Farmer_Hours)-MIN(N(B31),Farmer_Hours))*Farmer_Cost+(C32-(MIN(B32,Farmer_Hours)-MIN(N(B31),Farmer_Hours)))*Temp_Worker_Cost),"")</f>
        <v/>
      </c>
      <c r="L32" s="23" t="str">
        <f aca="false">IF(A32&lt;=Tomato_Bed_Cap,IF(B32&gt;Farmer_Hours+Temp_Worker_Count*Temp_Worker_Hours_Each,"over labor cap",(A32*Tomato_Fertizer+MIN(B32,Farmer_Hours)*Farmer_Cost+MAX(B32-Farmer_Hours,0)*Temp_Worker_Cost)/A32),"")</f>
        <v/>
      </c>
      <c r="M32" s="23" t="str">
        <f aca="false">IF(ISNUMBER(L32),A32*(Tomato_Price-L32)-Fixed_Costs,IF(A32&lt;=Tomato_Bed_Cap,"over labor cap",""))</f>
        <v/>
      </c>
    </row>
    <row r="33" customFormat="false" ht="15" hidden="false" customHeight="true" outlineLevel="0" collapsed="false">
      <c r="A33" s="22" t="n">
        <f aca="false">ROW()-5</f>
        <v>28</v>
      </c>
      <c r="B33" s="18" t="str">
        <f aca="false">IF(A33&lt;=Tomato_Bed_Cap,A33*Tomato_Hours*Season*(1+Tomato_Dim_Return)^A33,"")</f>
        <v/>
      </c>
      <c r="C33" s="18" t="str">
        <f aca="false">IF(A33&lt;=Tomato_Bed_Cap,B33-IF(ISNUMBER(B32),B32,0),"")</f>
        <v/>
      </c>
      <c r="D33" s="23" t="str">
        <f aca="false">IF(A33&lt;=Tomato_Bed_Cap,Tomato_Price,"")</f>
        <v/>
      </c>
      <c r="E33" s="23" t="str">
        <f aca="false">IF(A33&lt;=Tomato_Bed_Cap,Tomato_Fertizer,"")</f>
        <v/>
      </c>
      <c r="F33" s="23" t="str">
        <f aca="false">IF(A33&lt;=Tomato_Bed_Cap,C33*Blended_Labor_Rate,"")</f>
        <v/>
      </c>
      <c r="G33" s="23" t="str">
        <f aca="false">IF(A33&lt;=Tomato_Bed_Cap,D33-E33-F33,"")</f>
        <v/>
      </c>
      <c r="H33" s="23" t="str">
        <f aca="false">IF(A33&lt;=Tomato_Bed_Cap,IF(ISNUMBER(H32),H32,0)+G33,"")</f>
        <v/>
      </c>
      <c r="I33" s="24" t="str">
        <f aca="false">IF(AND(AND(ISNUMBER(G33),G33&lt;0,ISNUMBER(G32),G32&gt;=0),(A33=Tomato_Beds)),"&lt;- Cross-over &amp; Solver-selected",IF(AND(ISNUMBER(G33),G33&lt;0,ISNUMBER(G32),G32&gt;=0),"&lt;- Cross-over (next bed unprofitable)",IF((A33=Tomato_Beds),"&lt;- Solver-selected","")))</f>
        <v/>
      </c>
      <c r="J33" s="23" t="str">
        <f aca="false">IF(ISNUMBER(E33),E33+F33,"")</f>
        <v/>
      </c>
      <c r="K33" s="23" t="str">
        <f aca="false">IF(A33&lt;=Tomato_Bed_Cap,IF(B33&gt;Farmer_Hours+Temp_Worker_Count*Temp_Worker_Hours_Each,"over labor cap",Tomato_Fertizer+(MIN(B33,Farmer_Hours)-MIN(N(B32),Farmer_Hours))*Farmer_Cost+(C33-(MIN(B33,Farmer_Hours)-MIN(N(B32),Farmer_Hours)))*Temp_Worker_Cost),"")</f>
        <v/>
      </c>
      <c r="L33" s="23" t="str">
        <f aca="false">IF(A33&lt;=Tomato_Bed_Cap,IF(B33&gt;Farmer_Hours+Temp_Worker_Count*Temp_Worker_Hours_Each,"over labor cap",(A33*Tomato_Fertizer+MIN(B33,Farmer_Hours)*Farmer_Cost+MAX(B33-Farmer_Hours,0)*Temp_Worker_Cost)/A33),"")</f>
        <v/>
      </c>
      <c r="M33" s="23" t="str">
        <f aca="false">IF(ISNUMBER(L33),A33*(Tomato_Price-L33)-Fixed_Costs,IF(A33&lt;=Tomato_Bed_Cap,"over labor cap",""))</f>
        <v/>
      </c>
    </row>
    <row r="34" customFormat="false" ht="15" hidden="false" customHeight="true" outlineLevel="0" collapsed="false">
      <c r="A34" s="22" t="n">
        <f aca="false">ROW()-5</f>
        <v>29</v>
      </c>
      <c r="B34" s="18" t="str">
        <f aca="false">IF(A34&lt;=Tomato_Bed_Cap,A34*Tomato_Hours*Season*(1+Tomato_Dim_Return)^A34,"")</f>
        <v/>
      </c>
      <c r="C34" s="18" t="str">
        <f aca="false">IF(A34&lt;=Tomato_Bed_Cap,B34-IF(ISNUMBER(B33),B33,0),"")</f>
        <v/>
      </c>
      <c r="D34" s="23" t="str">
        <f aca="false">IF(A34&lt;=Tomato_Bed_Cap,Tomato_Price,"")</f>
        <v/>
      </c>
      <c r="E34" s="23" t="str">
        <f aca="false">IF(A34&lt;=Tomato_Bed_Cap,Tomato_Fertizer,"")</f>
        <v/>
      </c>
      <c r="F34" s="23" t="str">
        <f aca="false">IF(A34&lt;=Tomato_Bed_Cap,C34*Blended_Labor_Rate,"")</f>
        <v/>
      </c>
      <c r="G34" s="23" t="str">
        <f aca="false">IF(A34&lt;=Tomato_Bed_Cap,D34-E34-F34,"")</f>
        <v/>
      </c>
      <c r="H34" s="23" t="str">
        <f aca="false">IF(A34&lt;=Tomato_Bed_Cap,IF(ISNUMBER(H33),H33,0)+G34,"")</f>
        <v/>
      </c>
      <c r="I34" s="24" t="str">
        <f aca="false">IF(AND(AND(ISNUMBER(G34),G34&lt;0,ISNUMBER(G33),G33&gt;=0),(A34=Tomato_Beds)),"&lt;- Cross-over &amp; Solver-selected",IF(AND(ISNUMBER(G34),G34&lt;0,ISNUMBER(G33),G33&gt;=0),"&lt;- Cross-over (next bed unprofitable)",IF((A34=Tomato_Beds),"&lt;- Solver-selected","")))</f>
        <v/>
      </c>
      <c r="J34" s="23" t="str">
        <f aca="false">IF(ISNUMBER(E34),E34+F34,"")</f>
        <v/>
      </c>
      <c r="K34" s="23" t="str">
        <f aca="false">IF(A34&lt;=Tomato_Bed_Cap,IF(B34&gt;Farmer_Hours+Temp_Worker_Count*Temp_Worker_Hours_Each,"over labor cap",Tomato_Fertizer+(MIN(B34,Farmer_Hours)-MIN(N(B33),Farmer_Hours))*Farmer_Cost+(C34-(MIN(B34,Farmer_Hours)-MIN(N(B33),Farmer_Hours)))*Temp_Worker_Cost),"")</f>
        <v/>
      </c>
      <c r="L34" s="23" t="str">
        <f aca="false">IF(A34&lt;=Tomato_Bed_Cap,IF(B34&gt;Farmer_Hours+Temp_Worker_Count*Temp_Worker_Hours_Each,"over labor cap",(A34*Tomato_Fertizer+MIN(B34,Farmer_Hours)*Farmer_Cost+MAX(B34-Farmer_Hours,0)*Temp_Worker_Cost)/A34),"")</f>
        <v/>
      </c>
      <c r="M34" s="23" t="str">
        <f aca="false">IF(ISNUMBER(L34),A34*(Tomato_Price-L34)-Fixed_Costs,IF(A34&lt;=Tomato_Bed_Cap,"over labor cap",""))</f>
        <v/>
      </c>
    </row>
    <row r="35" customFormat="false" ht="15" hidden="false" customHeight="true" outlineLevel="0" collapsed="false">
      <c r="A35" s="22" t="n">
        <f aca="false">ROW()-5</f>
        <v>30</v>
      </c>
      <c r="B35" s="18" t="str">
        <f aca="false">IF(A35&lt;=Tomato_Bed_Cap,A35*Tomato_Hours*Season*(1+Tomato_Dim_Return)^A35,"")</f>
        <v/>
      </c>
      <c r="C35" s="18" t="str">
        <f aca="false">IF(A35&lt;=Tomato_Bed_Cap,B35-IF(ISNUMBER(B34),B34,0),"")</f>
        <v/>
      </c>
      <c r="D35" s="23" t="str">
        <f aca="false">IF(A35&lt;=Tomato_Bed_Cap,Tomato_Price,"")</f>
        <v/>
      </c>
      <c r="E35" s="23" t="str">
        <f aca="false">IF(A35&lt;=Tomato_Bed_Cap,Tomato_Fertizer,"")</f>
        <v/>
      </c>
      <c r="F35" s="23" t="str">
        <f aca="false">IF(A35&lt;=Tomato_Bed_Cap,C35*Blended_Labor_Rate,"")</f>
        <v/>
      </c>
      <c r="G35" s="23" t="str">
        <f aca="false">IF(A35&lt;=Tomato_Bed_Cap,D35-E35-F35,"")</f>
        <v/>
      </c>
      <c r="H35" s="23" t="str">
        <f aca="false">IF(A35&lt;=Tomato_Bed_Cap,IF(ISNUMBER(H34),H34,0)+G35,"")</f>
        <v/>
      </c>
      <c r="I35" s="24" t="str">
        <f aca="false">IF(AND(AND(ISNUMBER(G35),G35&lt;0,ISNUMBER(G34),G34&gt;=0),(A35=Tomato_Beds)),"&lt;- Cross-over &amp; Solver-selected",IF(AND(ISNUMBER(G35),G35&lt;0,ISNUMBER(G34),G34&gt;=0),"&lt;- Cross-over (next bed unprofitable)",IF((A35=Tomato_Beds),"&lt;- Solver-selected","")))</f>
        <v/>
      </c>
      <c r="J35" s="23" t="str">
        <f aca="false">IF(ISNUMBER(E35),E35+F35,"")</f>
        <v/>
      </c>
      <c r="K35" s="23" t="str">
        <f aca="false">IF(A35&lt;=Tomato_Bed_Cap,IF(B35&gt;Farmer_Hours+Temp_Worker_Count*Temp_Worker_Hours_Each,"over labor cap",Tomato_Fertizer+(MIN(B35,Farmer_Hours)-MIN(N(B34),Farmer_Hours))*Farmer_Cost+(C35-(MIN(B35,Farmer_Hours)-MIN(N(B34),Farmer_Hours)))*Temp_Worker_Cost),"")</f>
        <v/>
      </c>
      <c r="L35" s="23" t="str">
        <f aca="false">IF(A35&lt;=Tomato_Bed_Cap,IF(B35&gt;Farmer_Hours+Temp_Worker_Count*Temp_Worker_Hours_Each,"over labor cap",(A35*Tomato_Fertizer+MIN(B35,Farmer_Hours)*Farmer_Cost+MAX(B35-Farmer_Hours,0)*Temp_Worker_Cost)/A35),"")</f>
        <v/>
      </c>
      <c r="M35" s="23" t="str">
        <f aca="false">IF(ISNUMBER(L35),A35*(Tomato_Price-L35)-Fixed_Costs,IF(A35&lt;=Tomato_Bed_Cap,"over labor cap",""))</f>
        <v/>
      </c>
    </row>
    <row r="38" customFormat="false" ht="15" hidden="false" customHeight="true" outlineLevel="0" collapsed="false">
      <c r="A38" s="4" t="s">
        <v>12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customFormat="false" ht="51.75" hidden="false" customHeight="true" outlineLevel="0" collapsed="false">
      <c r="A39" s="5" t="s">
        <v>55</v>
      </c>
      <c r="B39" s="5" t="s">
        <v>56</v>
      </c>
      <c r="C39" s="5" t="s">
        <v>57</v>
      </c>
      <c r="D39" s="5" t="s">
        <v>58</v>
      </c>
      <c r="E39" s="5" t="s">
        <v>59</v>
      </c>
      <c r="F39" s="5" t="s">
        <v>60</v>
      </c>
      <c r="G39" s="5" t="s">
        <v>61</v>
      </c>
      <c r="H39" s="5" t="s">
        <v>62</v>
      </c>
      <c r="I39" s="5" t="s">
        <v>63</v>
      </c>
      <c r="J39" s="5" t="s">
        <v>64</v>
      </c>
      <c r="K39" s="5" t="s">
        <v>65</v>
      </c>
      <c r="L39" s="5" t="s">
        <v>66</v>
      </c>
      <c r="M39" s="5" t="s">
        <v>67</v>
      </c>
    </row>
    <row r="40" customFormat="false" ht="15" hidden="false" customHeight="true" outlineLevel="0" collapsed="false">
      <c r="A40" s="22" t="n">
        <f aca="false">ROW()-39</f>
        <v>1</v>
      </c>
      <c r="B40" s="18" t="n">
        <f aca="false">IF(A40&lt;=Carrot_Bed_Cap,A40*Carrrot_Hours*Season*(1+Carrot_Dim_Return)^A40,"")</f>
        <v>30.75</v>
      </c>
      <c r="C40" s="18" t="n">
        <f aca="false">IF(A40&lt;=Carrot_Bed_Cap,B40,"")</f>
        <v>30.75</v>
      </c>
      <c r="D40" s="23" t="n">
        <f aca="false">IF(A40&lt;=Carrot_Bed_Cap,Carrot_Price,"")</f>
        <v>2094</v>
      </c>
      <c r="E40" s="23" t="n">
        <f aca="false">IF(A40&lt;=Carrot_Bed_Cap,Carrot_Fertilizer,"")</f>
        <v>440</v>
      </c>
      <c r="F40" s="23" t="n">
        <f aca="false">IF(A40&lt;=Carrot_Bed_Cap,MAX(0,MIN((Tomato_Beds*Tomato_Hours*Season*(1+Tomato_Dim_Return)^Tomato_Beds+Mesclun_Beds*Mesclun_Hours*Season*(1+Mesclun_Dim_Return)^Mesclun_Beds)+B40,Farmer_Hours)-MIN((Tomato_Beds*Tomato_Hours*Season*(1+Tomato_Dim_Return)^Tomato_Beds+Mesclun_Beds*Mesclun_Hours*Season*(1+Mesclun_Dim_Return)^Mesclun_Beds)+IF(ISNUMBER(B39),B39,0),Farmer_Hours))*Farmer_Cost+(C40-MAX(0,MIN((Tomato_Beds*Tomato_Hours*Season*(1+Tomato_Dim_Return)^Tomato_Beds+Mesclun_Beds*Mesclun_Hours*Season*(1+Mesclun_Dim_Return)^Mesclun_Beds)+B40,Farmer_Hours)-MIN((Tomato_Beds*Tomato_Hours*Season*(1+Tomato_Dim_Return)^Tomato_Beds+Mesclun_Beds*Mesclun_Hours*Season*(1+Mesclun_Dim_Return)^Mesclun_Beds)+IF(ISNUMBER(B39),B39,0),Farmer_Hours)))*Temp_Worker_Cost,"")</f>
        <v>533.854166666667</v>
      </c>
      <c r="G40" s="23" t="n">
        <f aca="false">IF(A40&lt;=Carrot_Bed_Cap,D40-E40-F40,"")</f>
        <v>1120.14583333333</v>
      </c>
      <c r="H40" s="23" t="n">
        <f aca="false">IF(A40&lt;=Carrot_Bed_Cap,G40,"")</f>
        <v>1120.14583333333</v>
      </c>
      <c r="I40" s="24" t="str">
        <f aca="false">IF((A40=Carrot_Beds),"&lt;- Solver-selected","")</f>
        <v/>
      </c>
      <c r="J40" s="23" t="n">
        <f aca="false">IF(ISNUMBER(E40),E40+F40,"")</f>
        <v>973.854166666667</v>
      </c>
      <c r="K40" s="23" t="n">
        <f aca="false">IF(A40&lt;=Carrot_Bed_Cap,IF(B40&gt;Farmer_Hours+Temp_Worker_Count*Temp_Worker_Hours_Each,"over labor cap",Carrot_Fertilizer+(MIN(B40,Farmer_Hours)-MIN(N(B39),Farmer_Hours))*Farmer_Cost+(C40-(MIN(B40,Farmer_Hours)-MIN(N(B39),Farmer_Hours)))*Temp_Worker_Cost),"")</f>
        <v>1507.70833333333</v>
      </c>
      <c r="L40" s="23" t="n">
        <f aca="false">IF(A40&lt;=Carrot_Bed_Cap,IF(B40&gt;Farmer_Hours+Temp_Worker_Count*Temp_Worker_Hours_Each,"over labor cap",(A40*Carrot_Fertilizer+MIN(B40,Farmer_Hours)*Farmer_Cost+MAX(B40-Farmer_Hours,0)*Temp_Worker_Cost)/A40),"")</f>
        <v>1507.70833333333</v>
      </c>
      <c r="M40" s="23" t="n">
        <f aca="false">IF(ISNUMBER(L40),A40*(Carrot_Price-L40)-Fixed_Costs,IF(A40&lt;=Carrot_Bed_Cap,"over labor cap",""))</f>
        <v>-19413.7083333333</v>
      </c>
    </row>
    <row r="41" customFormat="false" ht="15" hidden="false" customHeight="true" outlineLevel="0" collapsed="false">
      <c r="A41" s="22" t="n">
        <f aca="false">ROW()-39</f>
        <v>2</v>
      </c>
      <c r="B41" s="18" t="n">
        <f aca="false">IF(A41&lt;=Carrot_Bed_Cap,A41*Carrrot_Hours*Season*(1+Carrot_Dim_Return)^A41,"")</f>
        <v>63.0375</v>
      </c>
      <c r="C41" s="18" t="n">
        <f aca="false">IF(A41&lt;=Carrot_Bed_Cap,B41-IF(ISNUMBER(B40),B40,0),"")</f>
        <v>32.2875</v>
      </c>
      <c r="D41" s="23" t="n">
        <f aca="false">IF(A41&lt;=Carrot_Bed_Cap,Carrot_Price,"")</f>
        <v>2094</v>
      </c>
      <c r="E41" s="23" t="n">
        <f aca="false">IF(A41&lt;=Carrot_Bed_Cap,Carrot_Fertilizer,"")</f>
        <v>440</v>
      </c>
      <c r="F41" s="23" t="n">
        <f aca="false">IF(A41&lt;=Carrot_Bed_Cap,MAX(0,MIN((Tomato_Beds*Tomato_Hours*Season*(1+Tomato_Dim_Return)^Tomato_Beds+Mesclun_Beds*Mesclun_Hours*Season*(1+Mesclun_Dim_Return)^Mesclun_Beds)+B41,Farmer_Hours)-MIN((Tomato_Beds*Tomato_Hours*Season*(1+Tomato_Dim_Return)^Tomato_Beds+Mesclun_Beds*Mesclun_Hours*Season*(1+Mesclun_Dim_Return)^Mesclun_Beds)+IF(ISNUMBER(B40),B40,0),Farmer_Hours))*Farmer_Cost+(C41-MAX(0,MIN((Tomato_Beds*Tomato_Hours*Season*(1+Tomato_Dim_Return)^Tomato_Beds+Mesclun_Beds*Mesclun_Hours*Season*(1+Mesclun_Dim_Return)^Mesclun_Beds)+B41,Farmer_Hours)-MIN((Tomato_Beds*Tomato_Hours*Season*(1+Tomato_Dim_Return)^Tomato_Beds+Mesclun_Beds*Mesclun_Hours*Season*(1+Mesclun_Dim_Return)^Mesclun_Beds)+IF(ISNUMBER(B40),B40,0),Farmer_Hours)))*Temp_Worker_Cost,"")</f>
        <v>560.546875</v>
      </c>
      <c r="G41" s="23" t="n">
        <f aca="false">IF(A41&lt;=Carrot_Bed_Cap,D41-E41-F41,"")</f>
        <v>1093.453125</v>
      </c>
      <c r="H41" s="23" t="n">
        <f aca="false">IF(A41&lt;=Carrot_Bed_Cap,IF(ISNUMBER(H40),H40,0)+G41,"")</f>
        <v>2213.59895833333</v>
      </c>
      <c r="I41" s="24" t="str">
        <f aca="false">IF(AND(AND(ISNUMBER(G41),G41&lt;0,ISNUMBER(G40),G40&gt;=0),(A41=Carrot_Beds)),"&lt;- Cross-over &amp; Solver-selected",IF(AND(ISNUMBER(G41),G41&lt;0,ISNUMBER(G40),G40&gt;=0),"&lt;- Cross-over (next bed unprofitable)",IF((A41=Carrot_Beds),"&lt;- Solver-selected","")))</f>
        <v/>
      </c>
      <c r="J41" s="23" t="n">
        <f aca="false">IF(ISNUMBER(E41),E41+F41,"")</f>
        <v>1000.546875</v>
      </c>
      <c r="K41" s="23" t="n">
        <f aca="false">IF(A41&lt;=Carrot_Bed_Cap,IF(B41&gt;Farmer_Hours+Temp_Worker_Count*Temp_Worker_Hours_Each,"over labor cap",Carrot_Fertilizer+(MIN(B41,Farmer_Hours)-MIN(N(B40),Farmer_Hours))*Farmer_Cost+(C41-(MIN(B41,Farmer_Hours)-MIN(N(B40),Farmer_Hours)))*Temp_Worker_Cost),"")</f>
        <v>1561.09375</v>
      </c>
      <c r="L41" s="23" t="n">
        <f aca="false">IF(A41&lt;=Carrot_Bed_Cap,IF(B41&gt;Farmer_Hours+Temp_Worker_Count*Temp_Worker_Hours_Each,"over labor cap",(A41*Carrot_Fertilizer+MIN(B41,Farmer_Hours)*Farmer_Cost+MAX(B41-Farmer_Hours,0)*Temp_Worker_Cost)/A41),"")</f>
        <v>1534.40104166667</v>
      </c>
      <c r="M41" s="23" t="n">
        <f aca="false">IF(ISNUMBER(L41),A41*(Carrot_Price-L41)-Fixed_Costs,IF(A41&lt;=Carrot_Bed_Cap,"over labor cap",""))</f>
        <v>-18880.8020833333</v>
      </c>
    </row>
    <row r="42" customFormat="false" ht="15" hidden="false" customHeight="true" outlineLevel="0" collapsed="false">
      <c r="A42" s="22" t="n">
        <f aca="false">ROW()-39</f>
        <v>3</v>
      </c>
      <c r="B42" s="18" t="n">
        <f aca="false">IF(A42&lt;=Carrot_Bed_Cap,A42*Carrrot_Hours*Season*(1+Carrot_Dim_Return)^A42,"")</f>
        <v>96.92015625</v>
      </c>
      <c r="C42" s="18" t="n">
        <f aca="false">IF(A42&lt;=Carrot_Bed_Cap,B42-IF(ISNUMBER(B41),B41,0),"")</f>
        <v>33.88265625</v>
      </c>
      <c r="D42" s="23" t="n">
        <f aca="false">IF(A42&lt;=Carrot_Bed_Cap,Carrot_Price,"")</f>
        <v>2094</v>
      </c>
      <c r="E42" s="23" t="n">
        <f aca="false">IF(A42&lt;=Carrot_Bed_Cap,Carrot_Fertilizer,"")</f>
        <v>440</v>
      </c>
      <c r="F42" s="23" t="n">
        <f aca="false">IF(A42&lt;=Carrot_Bed_Cap,MAX(0,MIN((Tomato_Beds*Tomato_Hours*Season*(1+Tomato_Dim_Return)^Tomato_Beds+Mesclun_Beds*Mesclun_Hours*Season*(1+Mesclun_Dim_Return)^Mesclun_Beds)+B42,Farmer_Hours)-MIN((Tomato_Beds*Tomato_Hours*Season*(1+Tomato_Dim_Return)^Tomato_Beds+Mesclun_Beds*Mesclun_Hours*Season*(1+Mesclun_Dim_Return)^Mesclun_Beds)+IF(ISNUMBER(B41),B41,0),Farmer_Hours))*Farmer_Cost+(C42-MAX(0,MIN((Tomato_Beds*Tomato_Hours*Season*(1+Tomato_Dim_Return)^Tomato_Beds+Mesclun_Beds*Mesclun_Hours*Season*(1+Mesclun_Dim_Return)^Mesclun_Beds)+B42,Farmer_Hours)-MIN((Tomato_Beds*Tomato_Hours*Season*(1+Tomato_Dim_Return)^Tomato_Beds+Mesclun_Beds*Mesclun_Hours*Season*(1+Mesclun_Dim_Return)^Mesclun_Beds)+IF(ISNUMBER(B41),B41,0),Farmer_Hours)))*Temp_Worker_Cost,"")</f>
        <v>588.240559895833</v>
      </c>
      <c r="G42" s="23" t="n">
        <f aca="false">IF(A42&lt;=Carrot_Bed_Cap,D42-E42-F42,"")</f>
        <v>1065.75944010417</v>
      </c>
      <c r="H42" s="23" t="n">
        <f aca="false">IF(A42&lt;=Carrot_Bed_Cap,IF(ISNUMBER(H41),H41,0)+G42,"")</f>
        <v>3279.3583984375</v>
      </c>
      <c r="I42" s="24" t="str">
        <f aca="false">IF(AND(AND(ISNUMBER(G42),G42&lt;0,ISNUMBER(G41),G41&gt;=0),(A42=Carrot_Beds)),"&lt;- Cross-over &amp; Solver-selected",IF(AND(ISNUMBER(G42),G42&lt;0,ISNUMBER(G41),G41&gt;=0),"&lt;- Cross-over (next bed unprofitable)",IF((A42=Carrot_Beds),"&lt;- Solver-selected","")))</f>
        <v/>
      </c>
      <c r="J42" s="23" t="n">
        <f aca="false">IF(ISNUMBER(E42),E42+F42,"")</f>
        <v>1028.24055989583</v>
      </c>
      <c r="K42" s="23" t="n">
        <f aca="false">IF(A42&lt;=Carrot_Bed_Cap,IF(B42&gt;Farmer_Hours+Temp_Worker_Count*Temp_Worker_Hours_Each,"over labor cap",Carrot_Fertilizer+(MIN(B42,Farmer_Hours)-MIN(N(B41),Farmer_Hours))*Farmer_Cost+(C42-(MIN(B42,Farmer_Hours)-MIN(N(B41),Farmer_Hours)))*Temp_Worker_Cost),"")</f>
        <v>1616.48111979167</v>
      </c>
      <c r="L42" s="23" t="n">
        <f aca="false">IF(A42&lt;=Carrot_Bed_Cap,IF(B42&gt;Farmer_Hours+Temp_Worker_Count*Temp_Worker_Hours_Each,"over labor cap",(A42*Carrot_Fertilizer+MIN(B42,Farmer_Hours)*Farmer_Cost+MAX(B42-Farmer_Hours,0)*Temp_Worker_Cost)/A42),"")</f>
        <v>1561.76106770833</v>
      </c>
      <c r="M42" s="23" t="n">
        <f aca="false">IF(ISNUMBER(L42),A42*(Carrot_Price-L42)-Fixed_Costs,IF(A42&lt;=Carrot_Bed_Cap,"over labor cap",""))</f>
        <v>-18403.283203125</v>
      </c>
    </row>
    <row r="43" customFormat="false" ht="15" hidden="false" customHeight="true" outlineLevel="0" collapsed="false">
      <c r="A43" s="22" t="n">
        <f aca="false">ROW()-39</f>
        <v>4</v>
      </c>
      <c r="B43" s="18" t="n">
        <f aca="false">IF(A43&lt;=Carrot_Bed_Cap,A43*Carrrot_Hours*Season*(1+Carrot_Dim_Return)^A43,"")</f>
        <v>132.457546875</v>
      </c>
      <c r="C43" s="18" t="n">
        <f aca="false">IF(A43&lt;=Carrot_Bed_Cap,B43-IF(ISNUMBER(B42),B42,0),"")</f>
        <v>35.537390625</v>
      </c>
      <c r="D43" s="23" t="n">
        <f aca="false">IF(A43&lt;=Carrot_Bed_Cap,Carrot_Price,"")</f>
        <v>2094</v>
      </c>
      <c r="E43" s="23" t="n">
        <f aca="false">IF(A43&lt;=Carrot_Bed_Cap,Carrot_Fertilizer,"")</f>
        <v>440</v>
      </c>
      <c r="F43" s="23" t="n">
        <f aca="false">IF(A43&lt;=Carrot_Bed_Cap,MAX(0,MIN((Tomato_Beds*Tomato_Hours*Season*(1+Tomato_Dim_Return)^Tomato_Beds+Mesclun_Beds*Mesclun_Hours*Season*(1+Mesclun_Dim_Return)^Mesclun_Beds)+B43,Farmer_Hours)-MIN((Tomato_Beds*Tomato_Hours*Season*(1+Tomato_Dim_Return)^Tomato_Beds+Mesclun_Beds*Mesclun_Hours*Season*(1+Mesclun_Dim_Return)^Mesclun_Beds)+IF(ISNUMBER(B42),B42,0),Farmer_Hours))*Farmer_Cost+(C43-MAX(0,MIN((Tomato_Beds*Tomato_Hours*Season*(1+Tomato_Dim_Return)^Tomato_Beds+Mesclun_Beds*Mesclun_Hours*Season*(1+Mesclun_Dim_Return)^Mesclun_Beds)+B43,Farmer_Hours)-MIN((Tomato_Beds*Tomato_Hours*Season*(1+Tomato_Dim_Return)^Tomato_Beds+Mesclun_Beds*Mesclun_Hours*Season*(1+Mesclun_Dim_Return)^Mesclun_Beds)+IF(ISNUMBER(B42),B42,0),Farmer_Hours)))*Temp_Worker_Cost,"")</f>
        <v>616.968587239583</v>
      </c>
      <c r="G43" s="23" t="n">
        <f aca="false">IF(A43&lt;=Carrot_Bed_Cap,D43-E43-F43,"")</f>
        <v>1037.03141276042</v>
      </c>
      <c r="H43" s="23" t="n">
        <f aca="false">IF(A43&lt;=Carrot_Bed_Cap,IF(ISNUMBER(H42),H42,0)+G43,"")</f>
        <v>4316.38981119792</v>
      </c>
      <c r="I43" s="24" t="str">
        <f aca="false">IF(AND(AND(ISNUMBER(G43),G43&lt;0,ISNUMBER(G42),G42&gt;=0),(A43=Carrot_Beds)),"&lt;- Cross-over &amp; Solver-selected",IF(AND(ISNUMBER(G43),G43&lt;0,ISNUMBER(G42),G42&gt;=0),"&lt;- Cross-over (next bed unprofitable)",IF((A43=Carrot_Beds),"&lt;- Solver-selected","")))</f>
        <v/>
      </c>
      <c r="J43" s="23" t="n">
        <f aca="false">IF(ISNUMBER(E43),E43+F43,"")</f>
        <v>1056.96858723958</v>
      </c>
      <c r="K43" s="23" t="n">
        <f aca="false">IF(A43&lt;=Carrot_Bed_Cap,IF(B43&gt;Farmer_Hours+Temp_Worker_Count*Temp_Worker_Hours_Each,"over labor cap",Carrot_Fertilizer+(MIN(B43,Farmer_Hours)-MIN(N(B42),Farmer_Hours))*Farmer_Cost+(C43-(MIN(B43,Farmer_Hours)-MIN(N(B42),Farmer_Hours)))*Temp_Worker_Cost),"")</f>
        <v>1673.93717447917</v>
      </c>
      <c r="L43" s="23" t="n">
        <f aca="false">IF(A43&lt;=Carrot_Bed_Cap,IF(B43&gt;Farmer_Hours+Temp_Worker_Count*Temp_Worker_Hours_Each,"over labor cap",(A43*Carrot_Fertilizer+MIN(B43,Farmer_Hours)*Farmer_Cost+MAX(B43-Farmer_Hours,0)*Temp_Worker_Cost)/A43),"")</f>
        <v>1589.80509440104</v>
      </c>
      <c r="M43" s="23" t="n">
        <f aca="false">IF(ISNUMBER(L43),A43*(Carrot_Price-L43)-Fixed_Costs,IF(A43&lt;=Carrot_Bed_Cap,"over labor cap",""))</f>
        <v>-17983.2203776042</v>
      </c>
    </row>
    <row r="44" customFormat="false" ht="15" hidden="false" customHeight="true" outlineLevel="0" collapsed="false">
      <c r="A44" s="22" t="n">
        <f aca="false">ROW()-39</f>
        <v>5</v>
      </c>
      <c r="B44" s="18" t="n">
        <f aca="false">IF(A44&lt;=Carrot_Bed_Cap,A44*Carrrot_Hours*Season*(1+Carrot_Dim_Return)^A44,"")</f>
        <v>169.711231933594</v>
      </c>
      <c r="C44" s="18" t="n">
        <f aca="false">IF(A44&lt;=Carrot_Bed_Cap,B44-IF(ISNUMBER(B43),B43,0),"")</f>
        <v>37.2536850585937</v>
      </c>
      <c r="D44" s="23" t="n">
        <f aca="false">IF(A44&lt;=Carrot_Bed_Cap,Carrot_Price,"")</f>
        <v>2094</v>
      </c>
      <c r="E44" s="23" t="n">
        <f aca="false">IF(A44&lt;=Carrot_Bed_Cap,Carrot_Fertilizer,"")</f>
        <v>440</v>
      </c>
      <c r="F44" s="23" t="n">
        <f aca="false">IF(A44&lt;=Carrot_Bed_Cap,MAX(0,MIN((Tomato_Beds*Tomato_Hours*Season*(1+Tomato_Dim_Return)^Tomato_Beds+Mesclun_Beds*Mesclun_Hours*Season*(1+Mesclun_Dim_Return)^Mesclun_Beds)+B44,Farmer_Hours)-MIN((Tomato_Beds*Tomato_Hours*Season*(1+Tomato_Dim_Return)^Tomato_Beds+Mesclun_Beds*Mesclun_Hours*Season*(1+Mesclun_Dim_Return)^Mesclun_Beds)+IF(ISNUMBER(B43),B43,0),Farmer_Hours))*Farmer_Cost+(C44-MAX(0,MIN((Tomato_Beds*Tomato_Hours*Season*(1+Tomato_Dim_Return)^Tomato_Beds+Mesclun_Beds*Mesclun_Hours*Season*(1+Mesclun_Dim_Return)^Mesclun_Beds)+B44,Farmer_Hours)-MIN((Tomato_Beds*Tomato_Hours*Season*(1+Tomato_Dim_Return)^Tomato_Beds+Mesclun_Beds*Mesclun_Hours*Season*(1+Mesclun_Dim_Return)^Mesclun_Beds)+IF(ISNUMBER(B43),B43,0),Farmer_Hours)))*Temp_Worker_Cost,"")</f>
        <v>646.765365600586</v>
      </c>
      <c r="G44" s="23" t="n">
        <f aca="false">IF(A44&lt;=Carrot_Bed_Cap,D44-E44-F44,"")</f>
        <v>1007.23463439941</v>
      </c>
      <c r="H44" s="23" t="n">
        <f aca="false">IF(A44&lt;=Carrot_Bed_Cap,IF(ISNUMBER(H43),H43,0)+G44,"")</f>
        <v>5323.62444559733</v>
      </c>
      <c r="I44" s="24" t="str">
        <f aca="false">IF(AND(AND(ISNUMBER(G44),G44&lt;0,ISNUMBER(G43),G43&gt;=0),(A44=Carrot_Beds)),"&lt;- Cross-over &amp; Solver-selected",IF(AND(ISNUMBER(G44),G44&lt;0,ISNUMBER(G43),G43&gt;=0),"&lt;- Cross-over (next bed unprofitable)",IF((A44=Carrot_Beds),"&lt;- Solver-selected","")))</f>
        <v/>
      </c>
      <c r="J44" s="23" t="n">
        <f aca="false">IF(ISNUMBER(E44),E44+F44,"")</f>
        <v>1086.76536560059</v>
      </c>
      <c r="K44" s="23" t="n">
        <f aca="false">IF(A44&lt;=Carrot_Bed_Cap,IF(B44&gt;Farmer_Hours+Temp_Worker_Count*Temp_Worker_Hours_Each,"over labor cap",Carrot_Fertilizer+(MIN(B44,Farmer_Hours)-MIN(N(B43),Farmer_Hours))*Farmer_Cost+(C44-(MIN(B44,Farmer_Hours)-MIN(N(B43),Farmer_Hours)))*Temp_Worker_Cost),"")</f>
        <v>1733.53073120117</v>
      </c>
      <c r="L44" s="23" t="n">
        <f aca="false">IF(A44&lt;=Carrot_Bed_Cap,IF(B44&gt;Farmer_Hours+Temp_Worker_Count*Temp_Worker_Hours_Each,"over labor cap",(A44*Carrot_Fertilizer+MIN(B44,Farmer_Hours)*Farmer_Cost+MAX(B44-Farmer_Hours,0)*Temp_Worker_Cost)/A44),"")</f>
        <v>1618.55022176107</v>
      </c>
      <c r="M44" s="23" t="n">
        <f aca="false">IF(ISNUMBER(L44),A44*(Carrot_Price-L44)-Fixed_Costs,IF(A44&lt;=Carrot_Bed_Cap,"over labor cap",""))</f>
        <v>-17622.7511088053</v>
      </c>
    </row>
    <row r="45" customFormat="false" ht="15" hidden="false" customHeight="true" outlineLevel="0" collapsed="false">
      <c r="A45" s="22" t="n">
        <f aca="false">ROW()-39</f>
        <v>6</v>
      </c>
      <c r="B45" s="18" t="n">
        <f aca="false">IF(A45&lt;=Carrot_Bed_Cap,A45*Carrrot_Hours*Season*(1+Carrot_Dim_Return)^A45,"")</f>
        <v>208.74481527832</v>
      </c>
      <c r="C45" s="18" t="n">
        <f aca="false">IF(A45&lt;=Carrot_Bed_Cap,B45-IF(ISNUMBER(B44),B44,0),"")</f>
        <v>39.0335833447265</v>
      </c>
      <c r="D45" s="23" t="n">
        <f aca="false">IF(A45&lt;=Carrot_Bed_Cap,Carrot_Price,"")</f>
        <v>2094</v>
      </c>
      <c r="E45" s="23" t="n">
        <f aca="false">IF(A45&lt;=Carrot_Bed_Cap,Carrot_Fertilizer,"")</f>
        <v>440</v>
      </c>
      <c r="F45" s="23" t="n">
        <f aca="false">IF(A45&lt;=Carrot_Bed_Cap,MAX(0,MIN((Tomato_Beds*Tomato_Hours*Season*(1+Tomato_Dim_Return)^Tomato_Beds+Mesclun_Beds*Mesclun_Hours*Season*(1+Mesclun_Dim_Return)^Mesclun_Beds)+B45,Farmer_Hours)-MIN((Tomato_Beds*Tomato_Hours*Season*(1+Tomato_Dim_Return)^Tomato_Beds+Mesclun_Beds*Mesclun_Hours*Season*(1+Mesclun_Dim_Return)^Mesclun_Beds)+IF(ISNUMBER(B44),B44,0),Farmer_Hours))*Farmer_Cost+(C45-MAX(0,MIN((Tomato_Beds*Tomato_Hours*Season*(1+Tomato_Dim_Return)^Tomato_Beds+Mesclun_Beds*Mesclun_Hours*Season*(1+Mesclun_Dim_Return)^Mesclun_Beds)+B45,Farmer_Hours)-MIN((Tomato_Beds*Tomato_Hours*Season*(1+Tomato_Dim_Return)^Tomato_Beds+Mesclun_Beds*Mesclun_Hours*Season*(1+Mesclun_Dim_Return)^Mesclun_Beds)+IF(ISNUMBER(B44),B44,0),Farmer_Hours)))*Temp_Worker_Cost,"")</f>
        <v>677.666377512614</v>
      </c>
      <c r="G45" s="23" t="n">
        <f aca="false">IF(A45&lt;=Carrot_Bed_Cap,D45-E45-F45,"")</f>
        <v>976.333622487387</v>
      </c>
      <c r="H45" s="23" t="n">
        <f aca="false">IF(A45&lt;=Carrot_Bed_Cap,IF(ISNUMBER(H44),H44,0)+G45,"")</f>
        <v>6299.95806808472</v>
      </c>
      <c r="I45" s="24" t="str">
        <f aca="false">IF(AND(AND(ISNUMBER(G45),G45&lt;0,ISNUMBER(G44),G44&gt;=0),(A45=Carrot_Beds)),"&lt;- Cross-over &amp; Solver-selected",IF(AND(ISNUMBER(G45),G45&lt;0,ISNUMBER(G44),G44&gt;=0),"&lt;- Cross-over (next bed unprofitable)",IF((A45=Carrot_Beds),"&lt;- Solver-selected","")))</f>
        <v/>
      </c>
      <c r="J45" s="23" t="n">
        <f aca="false">IF(ISNUMBER(E45),E45+F45,"")</f>
        <v>1117.66637751261</v>
      </c>
      <c r="K45" s="23" t="n">
        <f aca="false">IF(A45&lt;=Carrot_Bed_Cap,IF(B45&gt;Farmer_Hours+Temp_Worker_Count*Temp_Worker_Hours_Each,"over labor cap",Carrot_Fertilizer+(MIN(B45,Farmer_Hours)-MIN(N(B44),Farmer_Hours))*Farmer_Cost+(C45-(MIN(B45,Farmer_Hours)-MIN(N(B44),Farmer_Hours)))*Temp_Worker_Cost),"")</f>
        <v>1795.33275502523</v>
      </c>
      <c r="L45" s="23" t="n">
        <f aca="false">IF(A45&lt;=Carrot_Bed_Cap,IF(B45&gt;Farmer_Hours+Temp_Worker_Count*Temp_Worker_Hours_Each,"over labor cap",(A45*Carrot_Fertilizer+MIN(B45,Farmer_Hours)*Farmer_Cost+MAX(B45-Farmer_Hours,0)*Temp_Worker_Cost)/A45),"")</f>
        <v>1648.01397730509</v>
      </c>
      <c r="M45" s="23" t="n">
        <f aca="false">IF(ISNUMBER(L45),A45*(Carrot_Price-L45)-Fixed_Costs,IF(A45&lt;=Carrot_Bed_Cap,"over labor cap",""))</f>
        <v>-17324.0838638306</v>
      </c>
    </row>
    <row r="46" customFormat="false" ht="15" hidden="false" customHeight="true" outlineLevel="0" collapsed="false">
      <c r="A46" s="22" t="n">
        <f aca="false">ROW()-39</f>
        <v>7</v>
      </c>
      <c r="B46" s="18" t="n">
        <f aca="false">IF(A46&lt;=Carrot_Bed_Cap,A46*Carrrot_Hours*Season*(1+Carrot_Dim_Return)^A46,"")</f>
        <v>249.624008270325</v>
      </c>
      <c r="C46" s="18" t="n">
        <f aca="false">IF(A46&lt;=Carrot_Bed_Cap,B46-IF(ISNUMBER(B45),B45,0),"")</f>
        <v>40.8791929920044</v>
      </c>
      <c r="D46" s="23" t="n">
        <f aca="false">IF(A46&lt;=Carrot_Bed_Cap,Carrot_Price,"")</f>
        <v>2094</v>
      </c>
      <c r="E46" s="23" t="n">
        <f aca="false">IF(A46&lt;=Carrot_Bed_Cap,Carrot_Fertilizer,"")</f>
        <v>440</v>
      </c>
      <c r="F46" s="23" t="n">
        <f aca="false">IF(A46&lt;=Carrot_Bed_Cap,MAX(0,MIN((Tomato_Beds*Tomato_Hours*Season*(1+Tomato_Dim_Return)^Tomato_Beds+Mesclun_Beds*Mesclun_Hours*Season*(1+Mesclun_Dim_Return)^Mesclun_Beds)+B46,Farmer_Hours)-MIN((Tomato_Beds*Tomato_Hours*Season*(1+Tomato_Dim_Return)^Tomato_Beds+Mesclun_Beds*Mesclun_Hours*Season*(1+Mesclun_Dim_Return)^Mesclun_Beds)+IF(ISNUMBER(B45),B45,0),Farmer_Hours))*Farmer_Cost+(C46-MAX(0,MIN((Tomato_Beds*Tomato_Hours*Season*(1+Tomato_Dim_Return)^Tomato_Beds+Mesclun_Beds*Mesclun_Hours*Season*(1+Mesclun_Dim_Return)^Mesclun_Beds)+B46,Farmer_Hours)-MIN((Tomato_Beds*Tomato_Hours*Season*(1+Tomato_Dim_Return)^Tomato_Beds+Mesclun_Beds*Mesclun_Hours*Season*(1+Mesclun_Dim_Return)^Mesclun_Beds)+IF(ISNUMBER(B45),B45,0),Farmer_Hours)))*Temp_Worker_Cost,"")</f>
        <v>709.708211666743</v>
      </c>
      <c r="G46" s="23" t="n">
        <f aca="false">IF(A46&lt;=Carrot_Bed_Cap,D46-E46-F46,"")</f>
        <v>944.291788333257</v>
      </c>
      <c r="H46" s="23" t="n">
        <f aca="false">IF(A46&lt;=Carrot_Bed_Cap,IF(ISNUMBER(H45),H45,0)+G46,"")</f>
        <v>7244.24985641798</v>
      </c>
      <c r="I46" s="24" t="str">
        <f aca="false">IF(AND(AND(ISNUMBER(G46),G46&lt;0,ISNUMBER(G45),G45&gt;=0),(A46=Carrot_Beds)),"&lt;- Cross-over &amp; Solver-selected",IF(AND(ISNUMBER(G46),G46&lt;0,ISNUMBER(G45),G45&gt;=0),"&lt;- Cross-over (next bed unprofitable)",IF((A46=Carrot_Beds),"&lt;- Solver-selected","")))</f>
        <v/>
      </c>
      <c r="J46" s="23" t="n">
        <f aca="false">IF(ISNUMBER(E46),E46+F46,"")</f>
        <v>1149.70821166674</v>
      </c>
      <c r="K46" s="23" t="n">
        <f aca="false">IF(A46&lt;=Carrot_Bed_Cap,IF(B46&gt;Farmer_Hours+Temp_Worker_Count*Temp_Worker_Hours_Each,"over labor cap",Carrot_Fertilizer+(MIN(B46,Farmer_Hours)-MIN(N(B45),Farmer_Hours))*Farmer_Cost+(C46-(MIN(B46,Farmer_Hours)-MIN(N(B45),Farmer_Hours)))*Temp_Worker_Cost),"")</f>
        <v>1859.41642333349</v>
      </c>
      <c r="L46" s="23" t="n">
        <f aca="false">IF(A46&lt;=Carrot_Bed_Cap,IF(B46&gt;Farmer_Hours+Temp_Worker_Count*Temp_Worker_Hours_Each,"over labor cap",(A46*Carrot_Fertilizer+MIN(B46,Farmer_Hours)*Farmer_Cost+MAX(B46-Farmer_Hours,0)*Temp_Worker_Cost)/A46),"")</f>
        <v>1678.21432673772</v>
      </c>
      <c r="M46" s="23" t="n">
        <f aca="false">IF(ISNUMBER(L46),A46*(Carrot_Price-L46)-Fixed_Costs,IF(A46&lt;=Carrot_Bed_Cap,"over labor cap",""))</f>
        <v>-17089.5002871641</v>
      </c>
    </row>
    <row r="47" customFormat="false" ht="15" hidden="false" customHeight="true" outlineLevel="0" collapsed="false">
      <c r="A47" s="22" t="n">
        <f aca="false">ROW()-39</f>
        <v>8</v>
      </c>
      <c r="B47" s="18" t="n">
        <f aca="false">IF(A47&lt;=Carrot_Bed_Cap,A47*Carrrot_Hours*Season*(1+Carrot_Dim_Return)^A47,"")</f>
        <v>292.41669540238</v>
      </c>
      <c r="C47" s="18" t="n">
        <f aca="false">IF(A47&lt;=Carrot_Bed_Cap,B47-IF(ISNUMBER(B46),B46,0),"")</f>
        <v>42.7926871320555</v>
      </c>
      <c r="D47" s="23" t="n">
        <f aca="false">IF(A47&lt;=Carrot_Bed_Cap,Carrot_Price,"")</f>
        <v>2094</v>
      </c>
      <c r="E47" s="23" t="n">
        <f aca="false">IF(A47&lt;=Carrot_Bed_Cap,Carrot_Fertilizer,"")</f>
        <v>440</v>
      </c>
      <c r="F47" s="23" t="n">
        <f aca="false">IF(A47&lt;=Carrot_Bed_Cap,MAX(0,MIN((Tomato_Beds*Tomato_Hours*Season*(1+Tomato_Dim_Return)^Tomato_Beds+Mesclun_Beds*Mesclun_Hours*Season*(1+Mesclun_Dim_Return)^Mesclun_Beds)+B47,Farmer_Hours)-MIN((Tomato_Beds*Tomato_Hours*Season*(1+Tomato_Dim_Return)^Tomato_Beds+Mesclun_Beds*Mesclun_Hours*Season*(1+Mesclun_Dim_Return)^Mesclun_Beds)+IF(ISNUMBER(B46),B46,0),Farmer_Hours))*Farmer_Cost+(C47-MAX(0,MIN((Tomato_Beds*Tomato_Hours*Season*(1+Tomato_Dim_Return)^Tomato_Beds+Mesclun_Beds*Mesclun_Hours*Season*(1+Mesclun_Dim_Return)^Mesclun_Beds)+B47,Farmer_Hours)-MIN((Tomato_Beds*Tomato_Hours*Season*(1+Tomato_Dim_Return)^Tomato_Beds+Mesclun_Beds*Mesclun_Hours*Season*(1+Mesclun_Dim_Return)^Mesclun_Beds)+IF(ISNUMBER(B46),B46,0),Farmer_Hours)))*Temp_Worker_Cost,"")</f>
        <v>742.92859604263</v>
      </c>
      <c r="G47" s="23" t="n">
        <f aca="false">IF(A47&lt;=Carrot_Bed_Cap,D47-E47-F47,"")</f>
        <v>911.07140395737</v>
      </c>
      <c r="H47" s="23" t="n">
        <f aca="false">IF(A47&lt;=Carrot_Bed_Cap,IF(ISNUMBER(H46),H46,0)+G47,"")</f>
        <v>8155.32126037534</v>
      </c>
      <c r="I47" s="24" t="str">
        <f aca="false">IF(AND(AND(ISNUMBER(G47),G47&lt;0,ISNUMBER(G46),G46&gt;=0),(A47=Carrot_Beds)),"&lt;- Cross-over &amp; Solver-selected",IF(AND(ISNUMBER(G47),G47&lt;0,ISNUMBER(G46),G46&gt;=0),"&lt;- Cross-over (next bed unprofitable)",IF((A47=Carrot_Beds),"&lt;- Solver-selected","")))</f>
        <v/>
      </c>
      <c r="J47" s="23" t="n">
        <f aca="false">IF(ISNUMBER(E47),E47+F47,"")</f>
        <v>1182.92859604263</v>
      </c>
      <c r="K47" s="23" t="n">
        <f aca="false">IF(A47&lt;=Carrot_Bed_Cap,IF(B47&gt;Farmer_Hours+Temp_Worker_Count*Temp_Worker_Hours_Each,"over labor cap",Carrot_Fertilizer+(MIN(B47,Farmer_Hours)-MIN(N(B46),Farmer_Hours))*Farmer_Cost+(C47-(MIN(B47,Farmer_Hours)-MIN(N(B46),Farmer_Hours)))*Temp_Worker_Cost),"")</f>
        <v>1925.85719208526</v>
      </c>
      <c r="L47" s="23" t="n">
        <f aca="false">IF(A47&lt;=Carrot_Bed_Cap,IF(B47&gt;Farmer_Hours+Temp_Worker_Count*Temp_Worker_Hours_Each,"over labor cap",(A47*Carrot_Fertilizer+MIN(B47,Farmer_Hours)*Farmer_Cost+MAX(B47-Farmer_Hours,0)*Temp_Worker_Cost)/A47),"")</f>
        <v>1709.16968490616</v>
      </c>
      <c r="M47" s="23" t="n">
        <f aca="false">IF(ISNUMBER(L47),A47*(Carrot_Price-L47)-Fixed_Costs,IF(A47&lt;=Carrot_Bed_Cap,"over labor cap",""))</f>
        <v>-16921.3574792493</v>
      </c>
    </row>
    <row r="48" customFormat="false" ht="15" hidden="false" customHeight="true" outlineLevel="0" collapsed="false">
      <c r="A48" s="22" t="n">
        <f aca="false">ROW()-39</f>
        <v>9</v>
      </c>
      <c r="B48" s="18" t="n">
        <f aca="false">IF(A48&lt;=Carrot_Bed_Cap,A48*Carrrot_Hours*Season*(1+Carrot_Dim_Return)^A48,"")</f>
        <v>337.19300188587</v>
      </c>
      <c r="C48" s="18" t="n">
        <f aca="false">IF(A48&lt;=Carrot_Bed_Cap,B48-IF(ISNUMBER(B47),B47,0),"")</f>
        <v>44.7763064834895</v>
      </c>
      <c r="D48" s="23" t="n">
        <f aca="false">IF(A48&lt;=Carrot_Bed_Cap,Carrot_Price,"")</f>
        <v>2094</v>
      </c>
      <c r="E48" s="23" t="n">
        <f aca="false">IF(A48&lt;=Carrot_Bed_Cap,Carrot_Fertilizer,"")</f>
        <v>440</v>
      </c>
      <c r="F48" s="23" t="n">
        <f aca="false">IF(A48&lt;=Carrot_Bed_Cap,MAX(0,MIN((Tomato_Beds*Tomato_Hours*Season*(1+Tomato_Dim_Return)^Tomato_Beds+Mesclun_Beds*Mesclun_Hours*Season*(1+Mesclun_Dim_Return)^Mesclun_Beds)+B48,Farmer_Hours)-MIN((Tomato_Beds*Tomato_Hours*Season*(1+Tomato_Dim_Return)^Tomato_Beds+Mesclun_Beds*Mesclun_Hours*Season*(1+Mesclun_Dim_Return)^Mesclun_Beds)+IF(ISNUMBER(B47),B47,0),Farmer_Hours))*Farmer_Cost+(C48-MAX(0,MIN((Tomato_Beds*Tomato_Hours*Season*(1+Tomato_Dim_Return)^Tomato_Beds+Mesclun_Beds*Mesclun_Hours*Season*(1+Mesclun_Dim_Return)^Mesclun_Beds)+B48,Farmer_Hours)-MIN((Tomato_Beds*Tomato_Hours*Season*(1+Tomato_Dim_Return)^Tomato_Beds+Mesclun_Beds*Mesclun_Hours*Season*(1+Mesclun_Dim_Return)^Mesclun_Beds)+IF(ISNUMBER(B47),B47,0),Farmer_Hours)))*Temp_Worker_Cost,"")</f>
        <v>777.366432005025</v>
      </c>
      <c r="G48" s="23" t="n">
        <f aca="false">IF(A48&lt;=Carrot_Bed_Cap,D48-E48-F48,"")</f>
        <v>876.633567994975</v>
      </c>
      <c r="H48" s="23" t="n">
        <f aca="false">IF(A48&lt;=Carrot_Bed_Cap,IF(ISNUMBER(H47),H47,0)+G48,"")</f>
        <v>9031.95482837032</v>
      </c>
      <c r="I48" s="24" t="str">
        <f aca="false">IF(AND(AND(ISNUMBER(G48),G48&lt;0,ISNUMBER(G47),G47&gt;=0),(A48=Carrot_Beds)),"&lt;- Cross-over &amp; Solver-selected",IF(AND(ISNUMBER(G48),G48&lt;0,ISNUMBER(G47),G47&gt;=0),"&lt;- Cross-over (next bed unprofitable)",IF((A48=Carrot_Beds),"&lt;- Solver-selected","")))</f>
        <v/>
      </c>
      <c r="J48" s="23" t="n">
        <f aca="false">IF(ISNUMBER(E48),E48+F48,"")</f>
        <v>1217.36643200503</v>
      </c>
      <c r="K48" s="23" t="n">
        <f aca="false">IF(A48&lt;=Carrot_Bed_Cap,IF(B48&gt;Farmer_Hours+Temp_Worker_Count*Temp_Worker_Hours_Each,"over labor cap",Carrot_Fertilizer+(MIN(B48,Farmer_Hours)-MIN(N(B47),Farmer_Hours))*Farmer_Cost+(C48-(MIN(B48,Farmer_Hours)-MIN(N(B47),Farmer_Hours)))*Temp_Worker_Cost),"")</f>
        <v>1994.73286401005</v>
      </c>
      <c r="L48" s="23" t="n">
        <f aca="false">IF(A48&lt;=Carrot_Bed_Cap,IF(B48&gt;Farmer_Hours+Temp_Worker_Count*Temp_Worker_Hours_Each,"over labor cap",(A48*Carrot_Fertilizer+MIN(B48,Farmer_Hours)*Farmer_Cost+MAX(B48-Farmer_Hours,0)*Temp_Worker_Cost)/A48),"")</f>
        <v>1740.89892702882</v>
      </c>
      <c r="M48" s="23" t="n">
        <f aca="false">IF(ISNUMBER(L48),A48*(Carrot_Price-L48)-Fixed_Costs,IF(A48&lt;=Carrot_Bed_Cap,"over labor cap",""))</f>
        <v>-16822.0903432594</v>
      </c>
    </row>
    <row r="49" customFormat="false" ht="15" hidden="false" customHeight="true" outlineLevel="0" collapsed="false">
      <c r="A49" s="22" t="n">
        <f aca="false">ROW()-39</f>
        <v>10</v>
      </c>
      <c r="B49" s="18" t="n">
        <f aca="false">IF(A49&lt;=Carrot_Bed_Cap,A49*Carrrot_Hours*Season*(1+Carrot_Dim_Return)^A49,"")</f>
        <v>384.025363258907</v>
      </c>
      <c r="C49" s="18" t="n">
        <f aca="false">IF(A49&lt;=Carrot_Bed_Cap,B49-IF(ISNUMBER(B48),B48,0),"")</f>
        <v>46.8323613730374</v>
      </c>
      <c r="D49" s="23" t="n">
        <f aca="false">IF(A49&lt;=Carrot_Bed_Cap,Carrot_Price,"")</f>
        <v>2094</v>
      </c>
      <c r="E49" s="23" t="n">
        <f aca="false">IF(A49&lt;=Carrot_Bed_Cap,Carrot_Fertilizer,"")</f>
        <v>440</v>
      </c>
      <c r="F49" s="23" t="n">
        <f aca="false">IF(A49&lt;=Carrot_Bed_Cap,MAX(0,MIN((Tomato_Beds*Tomato_Hours*Season*(1+Tomato_Dim_Return)^Tomato_Beds+Mesclun_Beds*Mesclun_Hours*Season*(1+Mesclun_Dim_Return)^Mesclun_Beds)+B49,Farmer_Hours)-MIN((Tomato_Beds*Tomato_Hours*Season*(1+Tomato_Dim_Return)^Tomato_Beds+Mesclun_Beds*Mesclun_Hours*Season*(1+Mesclun_Dim_Return)^Mesclun_Beds)+IF(ISNUMBER(B48),B48,0),Farmer_Hours))*Farmer_Cost+(C49-MAX(0,MIN((Tomato_Beds*Tomato_Hours*Season*(1+Tomato_Dim_Return)^Tomato_Beds+Mesclun_Beds*Mesclun_Hours*Season*(1+Mesclun_Dim_Return)^Mesclun_Beds)+B49,Farmer_Hours)-MIN((Tomato_Beds*Tomato_Hours*Season*(1+Tomato_Dim_Return)^Tomato_Beds+Mesclun_Beds*Mesclun_Hours*Season*(1+Mesclun_Dim_Return)^Mesclun_Beds)+IF(ISNUMBER(B48),B48,0),Farmer_Hours)))*Temp_Worker_Cost,"")</f>
        <v>813.061829393011</v>
      </c>
      <c r="G49" s="23" t="n">
        <f aca="false">IF(A49&lt;=Carrot_Bed_Cap,D49-E49-F49,"")</f>
        <v>840.938170606989</v>
      </c>
      <c r="H49" s="23" t="n">
        <f aca="false">IF(A49&lt;=Carrot_Bed_Cap,IF(ISNUMBER(H48),H48,0)+G49,"")</f>
        <v>9872.89299897731</v>
      </c>
      <c r="I49" s="24" t="str">
        <f aca="false">IF(AND(AND(ISNUMBER(G49),G49&lt;0,ISNUMBER(G48),G48&gt;=0),(A49=Carrot_Beds)),"&lt;- Cross-over &amp; Solver-selected",IF(AND(ISNUMBER(G49),G49&lt;0,ISNUMBER(G48),G48&gt;=0),"&lt;- Cross-over (next bed unprofitable)",IF((A49=Carrot_Beds),"&lt;- Solver-selected","")))</f>
        <v/>
      </c>
      <c r="J49" s="23" t="n">
        <f aca="false">IF(ISNUMBER(E49),E49+F49,"")</f>
        <v>1253.06182939301</v>
      </c>
      <c r="K49" s="23" t="n">
        <f aca="false">IF(A49&lt;=Carrot_Bed_Cap,IF(B49&gt;Farmer_Hours+Temp_Worker_Count*Temp_Worker_Hours_Each,"over labor cap",Carrot_Fertilizer+(MIN(B49,Farmer_Hours)-MIN(N(B48),Farmer_Hours))*Farmer_Cost+(C49-(MIN(B49,Farmer_Hours)-MIN(N(B48),Farmer_Hours)))*Temp_Worker_Cost),"")</f>
        <v>2066.12365878602</v>
      </c>
      <c r="L49" s="23" t="n">
        <f aca="false">IF(A49&lt;=Carrot_Bed_Cap,IF(B49&gt;Farmer_Hours+Temp_Worker_Count*Temp_Worker_Hours_Each,"over labor cap",(A49*Carrot_Fertilizer+MIN(B49,Farmer_Hours)*Farmer_Cost+MAX(B49-Farmer_Hours,0)*Temp_Worker_Cost)/A49),"")</f>
        <v>1773.42140020454</v>
      </c>
      <c r="M49" s="23" t="n">
        <f aca="false">IF(ISNUMBER(L49),A49*(Carrot_Price-L49)-Fixed_Costs,IF(A49&lt;=Carrot_Bed_Cap,"over labor cap",""))</f>
        <v>-16794.2140020454</v>
      </c>
    </row>
    <row r="50" customFormat="false" ht="15" hidden="false" customHeight="true" outlineLevel="0" collapsed="false">
      <c r="A50" s="22" t="n">
        <f aca="false">ROW()-39</f>
        <v>11</v>
      </c>
      <c r="B50" s="18" t="n">
        <f aca="false">IF(A50&lt;=Carrot_Bed_Cap,A50*Carrrot_Hours*Season*(1+Carrot_Dim_Return)^A50,"")</f>
        <v>432.988597074418</v>
      </c>
      <c r="C50" s="18" t="n">
        <f aca="false">IF(A50&lt;=Carrot_Bed_Cap,B50-IF(ISNUMBER(B49),B49,0),"")</f>
        <v>48.9632338155107</v>
      </c>
      <c r="D50" s="23" t="n">
        <f aca="false">IF(A50&lt;=Carrot_Bed_Cap,Carrot_Price,"")</f>
        <v>2094</v>
      </c>
      <c r="E50" s="23" t="n">
        <f aca="false">IF(A50&lt;=Carrot_Bed_Cap,Carrot_Fertilizer,"")</f>
        <v>440</v>
      </c>
      <c r="F50" s="23" t="n">
        <f aca="false">IF(A50&lt;=Carrot_Bed_Cap,MAX(0,MIN((Tomato_Beds*Tomato_Hours*Season*(1+Tomato_Dim_Return)^Tomato_Beds+Mesclun_Beds*Mesclun_Hours*Season*(1+Mesclun_Dim_Return)^Mesclun_Beds)+B50,Farmer_Hours)-MIN((Tomato_Beds*Tomato_Hours*Season*(1+Tomato_Dim_Return)^Tomato_Beds+Mesclun_Beds*Mesclun_Hours*Season*(1+Mesclun_Dim_Return)^Mesclun_Beds)+IF(ISNUMBER(B49),B49,0),Farmer_Hours))*Farmer_Cost+(C50-MAX(0,MIN((Tomato_Beds*Tomato_Hours*Season*(1+Tomato_Dim_Return)^Tomato_Beds+Mesclun_Beds*Mesclun_Hours*Season*(1+Mesclun_Dim_Return)^Mesclun_Beds)+B50,Farmer_Hours)-MIN((Tomato_Beds*Tomato_Hours*Season*(1+Tomato_Dim_Return)^Tomato_Beds+Mesclun_Beds*Mesclun_Hours*Season*(1+Mesclun_Dim_Return)^Mesclun_Beds)+IF(ISNUMBER(B49),B49,0),Farmer_Hours)))*Temp_Worker_Cost,"")</f>
        <v>850.056142630394</v>
      </c>
      <c r="G50" s="23" t="n">
        <f aca="false">IF(A50&lt;=Carrot_Bed_Cap,D50-E50-F50,"")</f>
        <v>803.943857369606</v>
      </c>
      <c r="H50" s="23" t="n">
        <f aca="false">IF(A50&lt;=Carrot_Bed_Cap,IF(ISNUMBER(H49),H49,0)+G50,"")</f>
        <v>10676.8368563469</v>
      </c>
      <c r="I50" s="24" t="str">
        <f aca="false">IF(AND(AND(ISNUMBER(G50),G50&lt;0,ISNUMBER(G49),G49&gt;=0),(A50=Carrot_Beds)),"&lt;- Cross-over &amp; Solver-selected",IF(AND(ISNUMBER(G50),G50&lt;0,ISNUMBER(G49),G49&gt;=0),"&lt;- Cross-over (next bed unprofitable)",IF((A50=Carrot_Beds),"&lt;- Solver-selected","")))</f>
        <v/>
      </c>
      <c r="J50" s="23" t="n">
        <f aca="false">IF(ISNUMBER(E50),E50+F50,"")</f>
        <v>1290.05614263039</v>
      </c>
      <c r="K50" s="23" t="n">
        <f aca="false">IF(A50&lt;=Carrot_Bed_Cap,IF(B50&gt;Farmer_Hours+Temp_Worker_Count*Temp_Worker_Hours_Each,"over labor cap",Carrot_Fertilizer+(MIN(B50,Farmer_Hours)-MIN(N(B49),Farmer_Hours))*Farmer_Cost+(C50-(MIN(B50,Farmer_Hours)-MIN(N(B49),Farmer_Hours)))*Temp_Worker_Cost),"")</f>
        <v>2140.11228526079</v>
      </c>
      <c r="L50" s="23" t="n">
        <f aca="false">IF(A50&lt;=Carrot_Bed_Cap,IF(B50&gt;Farmer_Hours+Temp_Worker_Count*Temp_Worker_Hours_Each,"over labor cap",(A50*Carrot_Fertilizer+MIN(B50,Farmer_Hours)*Farmer_Cost+MAX(B50-Farmer_Hours,0)*Temp_Worker_Cost)/A50),"")</f>
        <v>1806.75693520965</v>
      </c>
      <c r="M50" s="23" t="n">
        <f aca="false">IF(ISNUMBER(L50),A50*(Carrot_Price-L50)-Fixed_Costs,IF(A50&lt;=Carrot_Bed_Cap,"over labor cap",""))</f>
        <v>-16840.3262873062</v>
      </c>
    </row>
    <row r="51" customFormat="false" ht="15" hidden="false" customHeight="true" outlineLevel="0" collapsed="false">
      <c r="A51" s="22" t="n">
        <f aca="false">ROW()-39</f>
        <v>12</v>
      </c>
      <c r="B51" s="18" t="n">
        <f aca="false">IF(A51&lt;=Carrot_Bed_Cap,A51*Carrrot_Hours*Season*(1+Carrot_Dim_Return)^A51,"")</f>
        <v>484.159976728667</v>
      </c>
      <c r="C51" s="18" t="n">
        <f aca="false">IF(A51&lt;=Carrot_Bed_Cap,B51-IF(ISNUMBER(B50),B50,0),"")</f>
        <v>51.1713796542492</v>
      </c>
      <c r="D51" s="23" t="n">
        <f aca="false">IF(A51&lt;=Carrot_Bed_Cap,Carrot_Price,"")</f>
        <v>2094</v>
      </c>
      <c r="E51" s="23" t="n">
        <f aca="false">IF(A51&lt;=Carrot_Bed_Cap,Carrot_Fertilizer,"")</f>
        <v>440</v>
      </c>
      <c r="F51" s="23" t="n">
        <f aca="false">IF(A51&lt;=Carrot_Bed_Cap,MAX(0,MIN((Tomato_Beds*Tomato_Hours*Season*(1+Tomato_Dim_Return)^Tomato_Beds+Mesclun_Beds*Mesclun_Hours*Season*(1+Mesclun_Dim_Return)^Mesclun_Beds)+B51,Farmer_Hours)-MIN((Tomato_Beds*Tomato_Hours*Season*(1+Tomato_Dim_Return)^Tomato_Beds+Mesclun_Beds*Mesclun_Hours*Season*(1+Mesclun_Dim_Return)^Mesclun_Beds)+IF(ISNUMBER(B50),B50,0),Farmer_Hours))*Farmer_Cost+(C51-MAX(0,MIN((Tomato_Beds*Tomato_Hours*Season*(1+Tomato_Dim_Return)^Tomato_Beds+Mesclun_Beds*Mesclun_Hours*Season*(1+Mesclun_Dim_Return)^Mesclun_Beds)+B51,Farmer_Hours)-MIN((Tomato_Beds*Tomato_Hours*Season*(1+Tomato_Dim_Return)^Tomato_Beds+Mesclun_Beds*Mesclun_Hours*Season*(1+Mesclun_Dim_Return)^Mesclun_Beds)+IF(ISNUMBER(B50),B50,0),Farmer_Hours)))*Temp_Worker_Cost,"")</f>
        <v>888.392007886271</v>
      </c>
      <c r="G51" s="23" t="n">
        <f aca="false">IF(A51&lt;=Carrot_Bed_Cap,D51-E51-F51,"")</f>
        <v>765.607992113729</v>
      </c>
      <c r="H51" s="23" t="n">
        <f aca="false">IF(A51&lt;=Carrot_Bed_Cap,IF(ISNUMBER(H50),H50,0)+G51,"")</f>
        <v>11442.4448484606</v>
      </c>
      <c r="I51" s="24" t="str">
        <f aca="false">IF(AND(AND(ISNUMBER(G51),G51&lt;0,ISNUMBER(G50),G50&gt;=0),(A51=Carrot_Beds)),"&lt;- Cross-over &amp; Solver-selected",IF(AND(ISNUMBER(G51),G51&lt;0,ISNUMBER(G50),G50&gt;=0),"&lt;- Cross-over (next bed unprofitable)",IF((A51=Carrot_Beds),"&lt;- Solver-selected","")))</f>
        <v/>
      </c>
      <c r="J51" s="23" t="n">
        <f aca="false">IF(ISNUMBER(E51),E51+F51,"")</f>
        <v>1328.39200788627</v>
      </c>
      <c r="K51" s="23" t="n">
        <f aca="false">IF(A51&lt;=Carrot_Bed_Cap,IF(B51&gt;Farmer_Hours+Temp_Worker_Count*Temp_Worker_Hours_Each,"over labor cap",Carrot_Fertilizer+(MIN(B51,Farmer_Hours)-MIN(N(B50),Farmer_Hours))*Farmer_Cost+(C51-(MIN(B51,Farmer_Hours)-MIN(N(B50),Farmer_Hours)))*Temp_Worker_Cost),"")</f>
        <v>2216.78401577254</v>
      </c>
      <c r="L51" s="23" t="n">
        <f aca="false">IF(A51&lt;=Carrot_Bed_Cap,IF(B51&gt;Farmer_Hours+Temp_Worker_Count*Temp_Worker_Hours_Each,"over labor cap",(A51*Carrot_Fertilizer+MIN(B51,Farmer_Hours)*Farmer_Cost+MAX(B51-Farmer_Hours,0)*Temp_Worker_Cost)/A51),"")</f>
        <v>1840.92585858989</v>
      </c>
      <c r="M51" s="23" t="n">
        <f aca="false">IF(ISNUMBER(L51),A51*(Carrot_Price-L51)-Fixed_Costs,IF(A51&lt;=Carrot_Bed_Cap,"over labor cap",""))</f>
        <v>-16963.1103030787</v>
      </c>
    </row>
    <row r="52" customFormat="false" ht="15" hidden="false" customHeight="true" outlineLevel="0" collapsed="false">
      <c r="A52" s="22" t="n">
        <f aca="false">ROW()-39</f>
        <v>13</v>
      </c>
      <c r="B52" s="18" t="n">
        <f aca="false">IF(A52&lt;=Carrot_Bed_Cap,A52*Carrrot_Hours*Season*(1+Carrot_Dim_Return)^A52,"")</f>
        <v>537.619307492457</v>
      </c>
      <c r="C52" s="18" t="n">
        <f aca="false">IF(A52&lt;=Carrot_Bed_Cap,B52-IF(ISNUMBER(B51),B51,0),"")</f>
        <v>53.4593307637902</v>
      </c>
      <c r="D52" s="23" t="n">
        <f aca="false">IF(A52&lt;=Carrot_Bed_Cap,Carrot_Price,"")</f>
        <v>2094</v>
      </c>
      <c r="E52" s="23" t="n">
        <f aca="false">IF(A52&lt;=Carrot_Bed_Cap,Carrot_Fertilizer,"")</f>
        <v>440</v>
      </c>
      <c r="F52" s="23" t="n">
        <f aca="false">IF(A52&lt;=Carrot_Bed_Cap,MAX(0,MIN((Tomato_Beds*Tomato_Hours*Season*(1+Tomato_Dim_Return)^Tomato_Beds+Mesclun_Beds*Mesclun_Hours*Season*(1+Mesclun_Dim_Return)^Mesclun_Beds)+B52,Farmer_Hours)-MIN((Tomato_Beds*Tomato_Hours*Season*(1+Tomato_Dim_Return)^Tomato_Beds+Mesclun_Beds*Mesclun_Hours*Season*(1+Mesclun_Dim_Return)^Mesclun_Beds)+IF(ISNUMBER(B51),B51,0),Farmer_Hours))*Farmer_Cost+(C52-MAX(0,MIN((Tomato_Beds*Tomato_Hours*Season*(1+Tomato_Dim_Return)^Tomato_Beds+Mesclun_Beds*Mesclun_Hours*Season*(1+Mesclun_Dim_Return)^Mesclun_Beds)+B52,Farmer_Hours)-MIN((Tomato_Beds*Tomato_Hours*Season*(1+Tomato_Dim_Return)^Tomato_Beds+Mesclun_Beds*Mesclun_Hours*Season*(1+Mesclun_Dim_Return)^Mesclun_Beds)+IF(ISNUMBER(B51),B51,0),Farmer_Hours)))*Temp_Worker_Cost,"")</f>
        <v>928.113381315801</v>
      </c>
      <c r="G52" s="23" t="n">
        <f aca="false">IF(A52&lt;=Carrot_Bed_Cap,D52-E52-F52,"")</f>
        <v>725.886618684199</v>
      </c>
      <c r="H52" s="23" t="n">
        <f aca="false">IF(A52&lt;=Carrot_Bed_Cap,IF(ISNUMBER(H51),H51,0)+G52,"")</f>
        <v>12168.3314671448</v>
      </c>
      <c r="I52" s="24" t="str">
        <f aca="false">IF(AND(AND(ISNUMBER(G52),G52&lt;0,ISNUMBER(G51),G51&gt;=0),(A52=Carrot_Beds)),"&lt;- Cross-over &amp; Solver-selected",IF(AND(ISNUMBER(G52),G52&lt;0,ISNUMBER(G51),G51&gt;=0),"&lt;- Cross-over (next bed unprofitable)",IF((A52=Carrot_Beds),"&lt;- Solver-selected","")))</f>
        <v/>
      </c>
      <c r="J52" s="23" t="n">
        <f aca="false">IF(ISNUMBER(E52),E52+F52,"")</f>
        <v>1368.1133813158</v>
      </c>
      <c r="K52" s="23" t="n">
        <f aca="false">IF(A52&lt;=Carrot_Bed_Cap,IF(B52&gt;Farmer_Hours+Temp_Worker_Count*Temp_Worker_Hours_Each,"over labor cap",Carrot_Fertilizer+(MIN(B52,Farmer_Hours)-MIN(N(B51),Farmer_Hours))*Farmer_Cost+(C52-(MIN(B52,Farmer_Hours)-MIN(N(B51),Farmer_Hours)))*Temp_Worker_Cost),"")</f>
        <v>2296.2267626316</v>
      </c>
      <c r="L52" s="23" t="n">
        <f aca="false">IF(A52&lt;=Carrot_Bed_Cap,IF(B52&gt;Farmer_Hours+Temp_Worker_Count*Temp_Worker_Hours_Each,"over labor cap",(A52*Carrot_Fertilizer+MIN(B52,Farmer_Hours)*Farmer_Cost+MAX(B52-Farmer_Hours,0)*Temp_Worker_Cost)/A52),"")</f>
        <v>1875.94900505464</v>
      </c>
      <c r="M52" s="23" t="n">
        <f aca="false">IF(ISNUMBER(L52),A52*(Carrot_Price-L52)-Fixed_Costs,IF(A52&lt;=Carrot_Bed_Cap,"over labor cap",""))</f>
        <v>-17165.3370657103</v>
      </c>
    </row>
    <row r="53" customFormat="false" ht="15" hidden="false" customHeight="true" outlineLevel="0" collapsed="false">
      <c r="A53" s="22" t="n">
        <f aca="false">ROW()-39</f>
        <v>14</v>
      </c>
      <c r="B53" s="18" t="n">
        <f aca="false">IF(A53&lt;=Carrot_Bed_Cap,A53*Carrrot_Hours*Season*(1+Carrot_Dim_Return)^A53,"")</f>
        <v>593.449004808982</v>
      </c>
      <c r="C53" s="18" t="n">
        <f aca="false">IF(A53&lt;=Carrot_Bed_Cap,B53-IF(ISNUMBER(B52),B52,0),"")</f>
        <v>55.8296973165245</v>
      </c>
      <c r="D53" s="23" t="n">
        <f aca="false">IF(A53&lt;=Carrot_Bed_Cap,Carrot_Price,"")</f>
        <v>2094</v>
      </c>
      <c r="E53" s="23" t="n">
        <f aca="false">IF(A53&lt;=Carrot_Bed_Cap,Carrot_Fertilizer,"")</f>
        <v>440</v>
      </c>
      <c r="F53" s="23" t="n">
        <f aca="false">IF(A53&lt;=Carrot_Bed_Cap,MAX(0,MIN((Tomato_Beds*Tomato_Hours*Season*(1+Tomato_Dim_Return)^Tomato_Beds+Mesclun_Beds*Mesclun_Hours*Season*(1+Mesclun_Dim_Return)^Mesclun_Beds)+B53,Farmer_Hours)-MIN((Tomato_Beds*Tomato_Hours*Season*(1+Tomato_Dim_Return)^Tomato_Beds+Mesclun_Beds*Mesclun_Hours*Season*(1+Mesclun_Dim_Return)^Mesclun_Beds)+IF(ISNUMBER(B52),B52,0),Farmer_Hours))*Farmer_Cost+(C53-MAX(0,MIN((Tomato_Beds*Tomato_Hours*Season*(1+Tomato_Dim_Return)^Tomato_Beds+Mesclun_Beds*Mesclun_Hours*Season*(1+Mesclun_Dim_Return)^Mesclun_Beds)+B53,Farmer_Hours)-MIN((Tomato_Beds*Tomato_Hours*Season*(1+Tomato_Dim_Return)^Tomato_Beds+Mesclun_Beds*Mesclun_Hours*Season*(1+Mesclun_Dim_Return)^Mesclun_Beds)+IF(ISNUMBER(B52),B52,0),Farmer_Hours)))*Temp_Worker_Cost,"")</f>
        <v>969.265578411884</v>
      </c>
      <c r="G53" s="23" t="n">
        <f aca="false">IF(A53&lt;=Carrot_Bed_Cap,D53-E53-F53,"")</f>
        <v>684.734421588116</v>
      </c>
      <c r="H53" s="23" t="n">
        <f aca="false">IF(A53&lt;=Carrot_Bed_Cap,IF(ISNUMBER(H52),H52,0)+G53,"")</f>
        <v>12853.065888733</v>
      </c>
      <c r="I53" s="24" t="str">
        <f aca="false">IF(AND(AND(ISNUMBER(G53),G53&lt;0,ISNUMBER(G52),G52&gt;=0),(A53=Carrot_Beds)),"&lt;- Cross-over &amp; Solver-selected",IF(AND(ISNUMBER(G53),G53&lt;0,ISNUMBER(G52),G52&gt;=0),"&lt;- Cross-over (next bed unprofitable)",IF((A53=Carrot_Beds),"&lt;- Solver-selected","")))</f>
        <v/>
      </c>
      <c r="J53" s="23" t="n">
        <f aca="false">IF(ISNUMBER(E53),E53+F53,"")</f>
        <v>1409.26557841188</v>
      </c>
      <c r="K53" s="23" t="n">
        <f aca="false">IF(A53&lt;=Carrot_Bed_Cap,IF(B53&gt;Farmer_Hours+Temp_Worker_Count*Temp_Worker_Hours_Each,"over labor cap",Carrot_Fertilizer+(MIN(B53,Farmer_Hours)-MIN(N(B52),Farmer_Hours))*Farmer_Cost+(C53-(MIN(B53,Farmer_Hours)-MIN(N(B52),Farmer_Hours)))*Temp_Worker_Cost),"")</f>
        <v>2378.53115682377</v>
      </c>
      <c r="L53" s="23" t="n">
        <f aca="false">IF(A53&lt;=Carrot_Bed_Cap,IF(B53&gt;Farmer_Hours+Temp_Worker_Count*Temp_Worker_Hours_Each,"over labor cap",(A53*Carrot_Fertilizer+MIN(B53,Farmer_Hours)*Farmer_Cost+MAX(B53-Farmer_Hours,0)*Temp_Worker_Cost)/A53),"")</f>
        <v>1911.84773018101</v>
      </c>
      <c r="M53" s="23" t="n">
        <f aca="false">IF(ISNUMBER(L53),A53*(Carrot_Price-L53)-Fixed_Costs,IF(A53&lt;=Carrot_Bed_Cap,"over labor cap",""))</f>
        <v>-17449.8682225341</v>
      </c>
    </row>
    <row r="54" customFormat="false" ht="15" hidden="false" customHeight="true" outlineLevel="0" collapsed="false">
      <c r="A54" s="22" t="n">
        <f aca="false">ROW()-39</f>
        <v>15</v>
      </c>
      <c r="B54" s="18" t="n">
        <f aca="false">IF(A54&lt;=Carrot_Bed_Cap,A54*Carrrot_Hours*Season*(1+Carrot_Dim_Return)^A54,"")</f>
        <v>651.734174924149</v>
      </c>
      <c r="C54" s="18" t="n">
        <f aca="false">IF(A54&lt;=Carrot_Bed_Cap,B54-IF(ISNUMBER(B53),B53,0),"")</f>
        <v>58.2851701151677</v>
      </c>
      <c r="D54" s="23" t="n">
        <f aca="false">IF(A54&lt;=Carrot_Bed_Cap,Carrot_Price,"")</f>
        <v>2094</v>
      </c>
      <c r="E54" s="23" t="n">
        <f aca="false">IF(A54&lt;=Carrot_Bed_Cap,Carrot_Fertilizer,"")</f>
        <v>440</v>
      </c>
      <c r="F54" s="23" t="n">
        <f aca="false">IF(A54&lt;=Carrot_Bed_Cap,MAX(0,MIN((Tomato_Beds*Tomato_Hours*Season*(1+Tomato_Dim_Return)^Tomato_Beds+Mesclun_Beds*Mesclun_Hours*Season*(1+Mesclun_Dim_Return)^Mesclun_Beds)+B54,Farmer_Hours)-MIN((Tomato_Beds*Tomato_Hours*Season*(1+Tomato_Dim_Return)^Tomato_Beds+Mesclun_Beds*Mesclun_Hours*Season*(1+Mesclun_Dim_Return)^Mesclun_Beds)+IF(ISNUMBER(B53),B53,0),Farmer_Hours))*Farmer_Cost+(C54-MAX(0,MIN((Tomato_Beds*Tomato_Hours*Season*(1+Tomato_Dim_Return)^Tomato_Beds+Mesclun_Beds*Mesclun_Hours*Season*(1+Mesclun_Dim_Return)^Mesclun_Beds)+B54,Farmer_Hours)-MIN((Tomato_Beds*Tomato_Hours*Season*(1+Tomato_Dim_Return)^Tomato_Beds+Mesclun_Beds*Mesclun_Hours*Season*(1+Mesclun_Dim_Return)^Mesclun_Beds)+IF(ISNUMBER(B53),B53,0),Farmer_Hours)))*Temp_Worker_Cost,"")</f>
        <v>1011.89531449944</v>
      </c>
      <c r="G54" s="23" t="n">
        <f aca="false">IF(A54&lt;=Carrot_Bed_Cap,D54-E54-F54,"")</f>
        <v>642.104685500561</v>
      </c>
      <c r="H54" s="23" t="n">
        <f aca="false">IF(A54&lt;=Carrot_Bed_Cap,IF(ISNUMBER(H53),H53,0)+G54,"")</f>
        <v>13495.1705742335</v>
      </c>
      <c r="I54" s="24" t="str">
        <f aca="false">IF(AND(AND(ISNUMBER(G54),G54&lt;0,ISNUMBER(G53),G53&gt;=0),(A54=Carrot_Beds)),"&lt;- Cross-over &amp; Solver-selected",IF(AND(ISNUMBER(G54),G54&lt;0,ISNUMBER(G53),G53&gt;=0),"&lt;- Cross-over (next bed unprofitable)",IF((A54=Carrot_Beds),"&lt;- Solver-selected","")))</f>
        <v/>
      </c>
      <c r="J54" s="23" t="n">
        <f aca="false">IF(ISNUMBER(E54),E54+F54,"")</f>
        <v>1451.89531449944</v>
      </c>
      <c r="K54" s="23" t="n">
        <f aca="false">IF(A54&lt;=Carrot_Bed_Cap,IF(B54&gt;Farmer_Hours+Temp_Worker_Count*Temp_Worker_Hours_Each,"over labor cap",Carrot_Fertilizer+(MIN(B54,Farmer_Hours)-MIN(N(B53),Farmer_Hours))*Farmer_Cost+(C54-(MIN(B54,Farmer_Hours)-MIN(N(B53),Farmer_Hours)))*Temp_Worker_Cost),"")</f>
        <v>2463.79062899888</v>
      </c>
      <c r="L54" s="23" t="n">
        <f aca="false">IF(A54&lt;=Carrot_Bed_Cap,IF(B54&gt;Farmer_Hours+Temp_Worker_Count*Temp_Worker_Hours_Each,"over labor cap",(A54*Carrot_Fertilizer+MIN(B54,Farmer_Hours)*Farmer_Cost+MAX(B54-Farmer_Hours,0)*Temp_Worker_Cost)/A54),"")</f>
        <v>1948.64392343553</v>
      </c>
      <c r="M54" s="23" t="n">
        <f aca="false">IF(ISNUMBER(L54),A54*(Carrot_Price-L54)-Fixed_Costs,IF(A54&lt;=Carrot_Bed_Cap,"over labor cap",""))</f>
        <v>-17819.658851533</v>
      </c>
    </row>
    <row r="55" customFormat="false" ht="15" hidden="false" customHeight="true" outlineLevel="0" collapsed="false">
      <c r="A55" s="22" t="n">
        <f aca="false">ROW()-39</f>
        <v>16</v>
      </c>
      <c r="B55" s="18" t="n">
        <f aca="false">IF(A55&lt;=Carrot_Bed_Cap,A55*Carrrot_Hours*Season*(1+Carrot_Dim_Return)^A55,"")</f>
        <v>712.56269791707</v>
      </c>
      <c r="C55" s="18" t="n">
        <f aca="false">IF(A55&lt;=Carrot_Bed_Cap,B55-IF(ISNUMBER(B54),B54,0),"")</f>
        <v>60.8285229929205</v>
      </c>
      <c r="D55" s="23" t="n">
        <f aca="false">IF(A55&lt;=Carrot_Bed_Cap,Carrot_Price,"")</f>
        <v>2094</v>
      </c>
      <c r="E55" s="23" t="n">
        <f aca="false">IF(A55&lt;=Carrot_Bed_Cap,Carrot_Fertilizer,"")</f>
        <v>440</v>
      </c>
      <c r="F55" s="23" t="n">
        <f aca="false">IF(A55&lt;=Carrot_Bed_Cap,MAX(0,MIN((Tomato_Beds*Tomato_Hours*Season*(1+Tomato_Dim_Return)^Tomato_Beds+Mesclun_Beds*Mesclun_Hours*Season*(1+Mesclun_Dim_Return)^Mesclun_Beds)+B55,Farmer_Hours)-MIN((Tomato_Beds*Tomato_Hours*Season*(1+Tomato_Dim_Return)^Tomato_Beds+Mesclun_Beds*Mesclun_Hours*Season*(1+Mesclun_Dim_Return)^Mesclun_Beds)+IF(ISNUMBER(B54),B54,0),Farmer_Hours))*Farmer_Cost+(C55-MAX(0,MIN((Tomato_Beds*Tomato_Hours*Season*(1+Tomato_Dim_Return)^Tomato_Beds+Mesclun_Beds*Mesclun_Hours*Season*(1+Mesclun_Dim_Return)^Mesclun_Beds)+B55,Farmer_Hours)-MIN((Tomato_Beds*Tomato_Hours*Season*(1+Tomato_Dim_Return)^Tomato_Beds+Mesclun_Beds*Mesclun_Hours*Season*(1+Mesclun_Dim_Return)^Mesclun_Beds)+IF(ISNUMBER(B54),B54,0),Farmer_Hours)))*Temp_Worker_Cost,"")</f>
        <v>1056.05074640487</v>
      </c>
      <c r="G55" s="23" t="n">
        <f aca="false">IF(A55&lt;=Carrot_Bed_Cap,D55-E55-F55,"")</f>
        <v>597.94925359513</v>
      </c>
      <c r="H55" s="23" t="n">
        <f aca="false">IF(A55&lt;=Carrot_Bed_Cap,IF(ISNUMBER(H54),H54,0)+G55,"")</f>
        <v>14093.1198278286</v>
      </c>
      <c r="I55" s="24" t="str">
        <f aca="false">IF(AND(AND(ISNUMBER(G55),G55&lt;0,ISNUMBER(G54),G54&gt;=0),(A55=Carrot_Beds)),"&lt;- Cross-over &amp; Solver-selected",IF(AND(ISNUMBER(G55),G55&lt;0,ISNUMBER(G54),G54&gt;=0),"&lt;- Cross-over (next bed unprofitable)",IF((A55=Carrot_Beds),"&lt;- Solver-selected","")))</f>
        <v/>
      </c>
      <c r="J55" s="23" t="n">
        <f aca="false">IF(ISNUMBER(E55),E55+F55,"")</f>
        <v>1496.05074640487</v>
      </c>
      <c r="K55" s="23" t="n">
        <f aca="false">IF(A55&lt;=Carrot_Bed_Cap,IF(B55&gt;Farmer_Hours+Temp_Worker_Count*Temp_Worker_Hours_Each,"over labor cap",Carrot_Fertilizer+(MIN(B55,Farmer_Hours)-MIN(N(B54),Farmer_Hours))*Farmer_Cost+(C55-(MIN(B55,Farmer_Hours)-MIN(N(B54),Farmer_Hours)))*Temp_Worker_Cost),"")</f>
        <v>2552.10149280974</v>
      </c>
      <c r="L55" s="23" t="n">
        <f aca="false">IF(A55&lt;=Carrot_Bed_Cap,IF(B55&gt;Farmer_Hours+Temp_Worker_Count*Temp_Worker_Hours_Each,"over labor cap",(A55*Carrot_Fertilizer+MIN(B55,Farmer_Hours)*Farmer_Cost+MAX(B55-Farmer_Hours,0)*Temp_Worker_Cost)/A55),"")</f>
        <v>1986.36002152142</v>
      </c>
      <c r="M55" s="23" t="n">
        <f aca="false">IF(ISNUMBER(L55),A55*(Carrot_Price-L55)-Fixed_Costs,IF(A55&lt;=Carrot_Bed_Cap,"over labor cap",""))</f>
        <v>-18277.7603443427</v>
      </c>
    </row>
    <row r="56" customFormat="false" ht="15" hidden="false" customHeight="true" outlineLevel="0" collapsed="false">
      <c r="A56" s="22" t="n">
        <f aca="false">ROW()-39</f>
        <v>17</v>
      </c>
      <c r="B56" s="18" t="n">
        <f aca="false">IF(A56&lt;=Carrot_Bed_Cap,A56*Carrrot_Hours*Season*(1+Carrot_Dim_Return)^A56,"")</f>
        <v>776.025313200309</v>
      </c>
      <c r="C56" s="18" t="n">
        <f aca="false">IF(A56&lt;=Carrot_Bed_Cap,B56-IF(ISNUMBER(B55),B55,0),"")</f>
        <v>63.4626152832391</v>
      </c>
      <c r="D56" s="23" t="n">
        <f aca="false">IF(A56&lt;=Carrot_Bed_Cap,Carrot_Price,"")</f>
        <v>2094</v>
      </c>
      <c r="E56" s="23" t="n">
        <f aca="false">IF(A56&lt;=Carrot_Bed_Cap,Carrot_Fertilizer,"")</f>
        <v>440</v>
      </c>
      <c r="F56" s="23" t="n">
        <f aca="false">IF(A56&lt;=Carrot_Bed_Cap,MAX(0,MIN((Tomato_Beds*Tomato_Hours*Season*(1+Tomato_Dim_Return)^Tomato_Beds+Mesclun_Beds*Mesclun_Hours*Season*(1+Mesclun_Dim_Return)^Mesclun_Beds)+B56,Farmer_Hours)-MIN((Tomato_Beds*Tomato_Hours*Season*(1+Tomato_Dim_Return)^Tomato_Beds+Mesclun_Beds*Mesclun_Hours*Season*(1+Mesclun_Dim_Return)^Mesclun_Beds)+IF(ISNUMBER(B55),B55,0),Farmer_Hours))*Farmer_Cost+(C56-MAX(0,MIN((Tomato_Beds*Tomato_Hours*Season*(1+Tomato_Dim_Return)^Tomato_Beds+Mesclun_Beds*Mesclun_Hours*Season*(1+Mesclun_Dim_Return)^Mesclun_Beds)+B56,Farmer_Hours)-MIN((Tomato_Beds*Tomato_Hours*Season*(1+Tomato_Dim_Return)^Tomato_Beds+Mesclun_Beds*Mesclun_Hours*Season*(1+Mesclun_Dim_Return)^Mesclun_Beds)+IF(ISNUMBER(B55),B55,0),Farmer_Hours)))*Temp_Worker_Cost,"")</f>
        <v>1101.78151533401</v>
      </c>
      <c r="G56" s="23" t="n">
        <f aca="false">IF(A56&lt;=Carrot_Bed_Cap,D56-E56-F56,"")</f>
        <v>552.218484665988</v>
      </c>
      <c r="H56" s="23" t="n">
        <f aca="false">IF(A56&lt;=Carrot_Bed_Cap,IF(ISNUMBER(H55),H55,0)+G56,"")</f>
        <v>14645.3383124946</v>
      </c>
      <c r="I56" s="24" t="str">
        <f aca="false">IF(AND(AND(ISNUMBER(G56),G56&lt;0,ISNUMBER(G55),G55&gt;=0),(A56=Carrot_Beds)),"&lt;- Cross-over &amp; Solver-selected",IF(AND(ISNUMBER(G56),G56&lt;0,ISNUMBER(G55),G55&gt;=0),"&lt;- Cross-over (next bed unprofitable)",IF((A56=Carrot_Beds),"&lt;- Solver-selected","")))</f>
        <v/>
      </c>
      <c r="J56" s="23" t="n">
        <f aca="false">IF(ISNUMBER(E56),E56+F56,"")</f>
        <v>1541.78151533401</v>
      </c>
      <c r="K56" s="23" t="n">
        <f aca="false">IF(A56&lt;=Carrot_Bed_Cap,IF(B56&gt;Farmer_Hours+Temp_Worker_Count*Temp_Worker_Hours_Each,"over labor cap",Carrot_Fertilizer+(MIN(B56,Farmer_Hours)-MIN(N(B55),Farmer_Hours))*Farmer_Cost+(C56-(MIN(B56,Farmer_Hours)-MIN(N(B55),Farmer_Hours)))*Temp_Worker_Cost),"")</f>
        <v>1670.90134316266</v>
      </c>
      <c r="L56" s="23" t="n">
        <f aca="false">IF(A56&lt;=Carrot_Bed_Cap,IF(B56&gt;Farmer_Hours+Temp_Worker_Count*Temp_Worker_Hours_Each,"over labor cap",(A56*Carrot_Fertilizer+MIN(B56,Farmer_Hours)*Farmer_Cost+MAX(B56-Farmer_Hours,0)*Temp_Worker_Cost)/A56),"")</f>
        <v>1967.80362867679</v>
      </c>
      <c r="M56" s="23" t="n">
        <f aca="false">IF(ISNUMBER(L56),A56*(Carrot_Price-L56)-Fixed_Costs,IF(A56&lt;=Carrot_Bed_Cap,"over labor cap",""))</f>
        <v>-17854.6616875054</v>
      </c>
    </row>
    <row r="57" customFormat="false" ht="15" hidden="false" customHeight="true" outlineLevel="0" collapsed="false">
      <c r="A57" s="22" t="n">
        <f aca="false">ROW()-39</f>
        <v>18</v>
      </c>
      <c r="B57" s="18" t="n">
        <f aca="false">IF(A57&lt;=Carrot_Bed_Cap,A57*Carrrot_Hours*Season*(1+Carrot_Dim_Return)^A57,"")</f>
        <v>842.215707561512</v>
      </c>
      <c r="C57" s="18" t="n">
        <f aca="false">IF(A57&lt;=Carrot_Bed_Cap,B57-IF(ISNUMBER(B56),B56,0),"")</f>
        <v>66.1903943612026</v>
      </c>
      <c r="D57" s="23" t="n">
        <f aca="false">IF(A57&lt;=Carrot_Bed_Cap,Carrot_Price,"")</f>
        <v>2094</v>
      </c>
      <c r="E57" s="23" t="n">
        <f aca="false">IF(A57&lt;=Carrot_Bed_Cap,Carrot_Fertilizer,"")</f>
        <v>440</v>
      </c>
      <c r="F57" s="23" t="n">
        <f aca="false">IF(A57&lt;=Carrot_Bed_Cap,MAX(0,MIN((Tomato_Beds*Tomato_Hours*Season*(1+Tomato_Dim_Return)^Tomato_Beds+Mesclun_Beds*Mesclun_Hours*Season*(1+Mesclun_Dim_Return)^Mesclun_Beds)+B57,Farmer_Hours)-MIN((Tomato_Beds*Tomato_Hours*Season*(1+Tomato_Dim_Return)^Tomato_Beds+Mesclun_Beds*Mesclun_Hours*Season*(1+Mesclun_Dim_Return)^Mesclun_Beds)+IF(ISNUMBER(B56),B56,0),Farmer_Hours))*Farmer_Cost+(C57-MAX(0,MIN((Tomato_Beds*Tomato_Hours*Season*(1+Tomato_Dim_Return)^Tomato_Beds+Mesclun_Beds*Mesclun_Hours*Season*(1+Mesclun_Dim_Return)^Mesclun_Beds)+B57,Farmer_Hours)-MIN((Tomato_Beds*Tomato_Hours*Season*(1+Tomato_Dim_Return)^Tomato_Beds+Mesclun_Beds*Mesclun_Hours*Season*(1+Mesclun_Dim_Return)^Mesclun_Beds)+IF(ISNUMBER(B56),B56,0),Farmer_Hours)))*Temp_Worker_Cost,"")</f>
        <v>1149.1387909931</v>
      </c>
      <c r="G57" s="23" t="n">
        <f aca="false">IF(A57&lt;=Carrot_Bed_Cap,D57-E57-F57,"")</f>
        <v>504.861209006899</v>
      </c>
      <c r="H57" s="23" t="n">
        <f aca="false">IF(A57&lt;=Carrot_Bed_Cap,IF(ISNUMBER(H56),H56,0)+G57,"")</f>
        <v>15150.1995215015</v>
      </c>
      <c r="I57" s="24" t="str">
        <f aca="false">IF(AND(AND(ISNUMBER(G57),G57&lt;0,ISNUMBER(G56),G56&gt;=0),(A57=Carrot_Beds)),"&lt;- Cross-over &amp; Solver-selected",IF(AND(ISNUMBER(G57),G57&lt;0,ISNUMBER(G56),G56&gt;=0),"&lt;- Cross-over (next bed unprofitable)",IF((A57=Carrot_Beds),"&lt;- Solver-selected","")))</f>
        <v/>
      </c>
      <c r="J57" s="23" t="n">
        <f aca="false">IF(ISNUMBER(E57),E57+F57,"")</f>
        <v>1589.1387909931</v>
      </c>
      <c r="K57" s="23" t="n">
        <f aca="false">IF(A57&lt;=Carrot_Bed_Cap,IF(B57&gt;Farmer_Hours+Temp_Worker_Count*Temp_Worker_Hours_Each,"over labor cap",Carrot_Fertilizer+(MIN(B57,Farmer_Hours)-MIN(N(B56),Farmer_Hours))*Farmer_Cost+(C57-(MIN(B57,Farmer_Hours)-MIN(N(B56),Farmer_Hours)))*Temp_Worker_Cost),"")</f>
        <v>1589.1387909931</v>
      </c>
      <c r="L57" s="23" t="n">
        <f aca="false">IF(A57&lt;=Carrot_Bed_Cap,IF(B57&gt;Farmer_Hours+Temp_Worker_Count*Temp_Worker_Hours_Each,"over labor cap",(A57*Carrot_Fertilizer+MIN(B57,Farmer_Hours)*Farmer_Cost+MAX(B57-Farmer_Hours,0)*Temp_Worker_Cost)/A57),"")</f>
        <v>1946.76669324991</v>
      </c>
      <c r="M57" s="23" t="n">
        <f aca="false">IF(ISNUMBER(L57),A57*(Carrot_Price-L57)-Fixed_Costs,IF(A57&lt;=Carrot_Bed_Cap,"over labor cap",""))</f>
        <v>-17349.8004784985</v>
      </c>
    </row>
    <row r="58" customFormat="false" ht="15" hidden="false" customHeight="true" outlineLevel="0" collapsed="false">
      <c r="A58" s="22" t="n">
        <f aca="false">ROW()-39</f>
        <v>19</v>
      </c>
      <c r="B58" s="18" t="n">
        <f aca="false">IF(A58&lt;=Carrot_Bed_Cap,A58*Carrrot_Hours*Season*(1+Carrot_Dim_Return)^A58,"")</f>
        <v>911.230605820024</v>
      </c>
      <c r="C58" s="18" t="n">
        <f aca="false">IF(A58&lt;=Carrot_Bed_Cap,B58-IF(ISNUMBER(B57),B57,0),"")</f>
        <v>69.0148982585126</v>
      </c>
      <c r="D58" s="23" t="n">
        <f aca="false">IF(A58&lt;=Carrot_Bed_Cap,Carrot_Price,"")</f>
        <v>2094</v>
      </c>
      <c r="E58" s="23" t="n">
        <f aca="false">IF(A58&lt;=Carrot_Bed_Cap,Carrot_Fertilizer,"")</f>
        <v>440</v>
      </c>
      <c r="F58" s="23" t="n">
        <f aca="false">IF(A58&lt;=Carrot_Bed_Cap,MAX(0,MIN((Tomato_Beds*Tomato_Hours*Season*(1+Tomato_Dim_Return)^Tomato_Beds+Mesclun_Beds*Mesclun_Hours*Season*(1+Mesclun_Dim_Return)^Mesclun_Beds)+B58,Farmer_Hours)-MIN((Tomato_Beds*Tomato_Hours*Season*(1+Tomato_Dim_Return)^Tomato_Beds+Mesclun_Beds*Mesclun_Hours*Season*(1+Mesclun_Dim_Return)^Mesclun_Beds)+IF(ISNUMBER(B57),B57,0),Farmer_Hours))*Farmer_Cost+(C58-MAX(0,MIN((Tomato_Beds*Tomato_Hours*Season*(1+Tomato_Dim_Return)^Tomato_Beds+Mesclun_Beds*Mesclun_Hours*Season*(1+Mesclun_Dim_Return)^Mesclun_Beds)+B58,Farmer_Hours)-MIN((Tomato_Beds*Tomato_Hours*Season*(1+Tomato_Dim_Return)^Tomato_Beds+Mesclun_Beds*Mesclun_Hours*Season*(1+Mesclun_Dim_Return)^Mesclun_Beds)+IF(ISNUMBER(B57),B57,0),Farmer_Hours)))*Temp_Worker_Cost,"")</f>
        <v>1198.17531698807</v>
      </c>
      <c r="G58" s="23" t="n">
        <f aca="false">IF(A58&lt;=Carrot_Bed_Cap,D58-E58-F58,"")</f>
        <v>455.824683011934</v>
      </c>
      <c r="H58" s="23" t="n">
        <f aca="false">IF(A58&lt;=Carrot_Bed_Cap,IF(ISNUMBER(H57),H57,0)+G58,"")</f>
        <v>15606.0242045135</v>
      </c>
      <c r="I58" s="24" t="str">
        <f aca="false">IF(AND(AND(ISNUMBER(G58),G58&lt;0,ISNUMBER(G57),G57&gt;=0),(A58=Carrot_Beds)),"&lt;- Cross-over &amp; Solver-selected",IF(AND(ISNUMBER(G58),G58&lt;0,ISNUMBER(G57),G57&gt;=0),"&lt;- Cross-over (next bed unprofitable)",IF((A58=Carrot_Beds),"&lt;- Solver-selected","")))</f>
        <v/>
      </c>
      <c r="J58" s="23" t="n">
        <f aca="false">IF(ISNUMBER(E58),E58+F58,"")</f>
        <v>1638.17531698807</v>
      </c>
      <c r="K58" s="23" t="n">
        <f aca="false">IF(A58&lt;=Carrot_Bed_Cap,IF(B58&gt;Farmer_Hours+Temp_Worker_Count*Temp_Worker_Hours_Each,"over labor cap",Carrot_Fertilizer+(MIN(B58,Farmer_Hours)-MIN(N(B57),Farmer_Hours))*Farmer_Cost+(C58-(MIN(B58,Farmer_Hours)-MIN(N(B57),Farmer_Hours)))*Temp_Worker_Cost),"")</f>
        <v>1638.17531698807</v>
      </c>
      <c r="L58" s="23" t="n">
        <f aca="false">IF(A58&lt;=Carrot_Bed_Cap,IF(B58&gt;Farmer_Hours+Temp_Worker_Count*Temp_Worker_Hours_Each,"over labor cap",(A58*Carrot_Fertilizer+MIN(B58,Farmer_Hours)*Farmer_Cost+MAX(B58-Farmer_Hours,0)*Temp_Worker_Cost)/A58),"")</f>
        <v>1930.52504186771</v>
      </c>
      <c r="M58" s="23" t="n">
        <f aca="false">IF(ISNUMBER(L58),A58*(Carrot_Price-L58)-Fixed_Costs,IF(A58&lt;=Carrot_Bed_Cap,"over labor cap",""))</f>
        <v>-16893.9757954865</v>
      </c>
    </row>
    <row r="59" customFormat="false" ht="15" hidden="false" customHeight="true" outlineLevel="0" collapsed="false">
      <c r="A59" s="22" t="n">
        <f aca="false">ROW()-39</f>
        <v>20</v>
      </c>
      <c r="B59" s="18" t="n">
        <f aca="false">IF(A59&lt;=Carrot_Bed_Cap,A59*Carrrot_Hours*Season*(1+Carrot_Dim_Return)^A59,"")</f>
        <v>983.169864174237</v>
      </c>
      <c r="C59" s="18" t="n">
        <f aca="false">IF(A59&lt;=Carrot_Bed_Cap,B59-IF(ISNUMBER(B58),B58,0),"")</f>
        <v>71.9392583542124</v>
      </c>
      <c r="D59" s="23" t="n">
        <f aca="false">IF(A59&lt;=Carrot_Bed_Cap,Carrot_Price,"")</f>
        <v>2094</v>
      </c>
      <c r="E59" s="23" t="n">
        <f aca="false">IF(A59&lt;=Carrot_Bed_Cap,Carrot_Fertilizer,"")</f>
        <v>440</v>
      </c>
      <c r="F59" s="23" t="n">
        <f aca="false">IF(A59&lt;=Carrot_Bed_Cap,MAX(0,MIN((Tomato_Beds*Tomato_Hours*Season*(1+Tomato_Dim_Return)^Tomato_Beds+Mesclun_Beds*Mesclun_Hours*Season*(1+Mesclun_Dim_Return)^Mesclun_Beds)+B59,Farmer_Hours)-MIN((Tomato_Beds*Tomato_Hours*Season*(1+Tomato_Dim_Return)^Tomato_Beds+Mesclun_Beds*Mesclun_Hours*Season*(1+Mesclun_Dim_Return)^Mesclun_Beds)+IF(ISNUMBER(B58),B58,0),Farmer_Hours))*Farmer_Cost+(C59-MAX(0,MIN((Tomato_Beds*Tomato_Hours*Season*(1+Tomato_Dim_Return)^Tomato_Beds+Mesclun_Beds*Mesclun_Hours*Season*(1+Mesclun_Dim_Return)^Mesclun_Beds)+B59,Farmer_Hours)-MIN((Tomato_Beds*Tomato_Hours*Season*(1+Tomato_Dim_Return)^Tomato_Beds+Mesclun_Beds*Mesclun_Hours*Season*(1+Mesclun_Dim_Return)^Mesclun_Beds)+IF(ISNUMBER(B58),B58,0),Farmer_Hours)))*Temp_Worker_Cost,"")</f>
        <v>1248.94545753841</v>
      </c>
      <c r="G59" s="23" t="n">
        <f aca="false">IF(A59&lt;=Carrot_Bed_Cap,D59-E59-F59,"")</f>
        <v>405.054542461591</v>
      </c>
      <c r="H59" s="23" t="n">
        <f aca="false">IF(A59&lt;=Carrot_Bed_Cap,IF(ISNUMBER(H58),H58,0)+G59,"")</f>
        <v>16011.0787469751</v>
      </c>
      <c r="I59" s="24" t="str">
        <f aca="false">IF(AND(AND(ISNUMBER(G59),G59&lt;0,ISNUMBER(G58),G58&gt;=0),(A59=Carrot_Beds)),"&lt;- Cross-over &amp; Solver-selected",IF(AND(ISNUMBER(G59),G59&lt;0,ISNUMBER(G58),G58&gt;=0),"&lt;- Cross-over (next bed unprofitable)",IF((A59=Carrot_Beds),"&lt;- Solver-selected","")))</f>
        <v>&lt;- Solver-selected</v>
      </c>
      <c r="J59" s="23" t="n">
        <f aca="false">IF(ISNUMBER(E59),E59+F59,"")</f>
        <v>1688.94545753841</v>
      </c>
      <c r="K59" s="23" t="n">
        <f aca="false">IF(A59&lt;=Carrot_Bed_Cap,IF(B59&gt;Farmer_Hours+Temp_Worker_Count*Temp_Worker_Hours_Each,"over labor cap",Carrot_Fertilizer+(MIN(B59,Farmer_Hours)-MIN(N(B58),Farmer_Hours))*Farmer_Cost+(C59-(MIN(B59,Farmer_Hours)-MIN(N(B58),Farmer_Hours)))*Temp_Worker_Cost),"")</f>
        <v>1688.94545753841</v>
      </c>
      <c r="L59" s="23" t="n">
        <f aca="false">IF(A59&lt;=Carrot_Bed_Cap,IF(B59&gt;Farmer_Hours+Temp_Worker_Count*Temp_Worker_Hours_Each,"over labor cap",(A59*Carrot_Fertilizer+MIN(B59,Farmer_Hours)*Farmer_Cost+MAX(B59-Farmer_Hours,0)*Temp_Worker_Cost)/A59),"")</f>
        <v>1918.44606265125</v>
      </c>
      <c r="M59" s="23" t="n">
        <f aca="false">IF(ISNUMBER(L59),A59*(Carrot_Price-L59)-Fixed_Costs,IF(A59&lt;=Carrot_Bed_Cap,"over labor cap",""))</f>
        <v>-16488.9212530249</v>
      </c>
    </row>
    <row r="60" customFormat="false" ht="15" hidden="false" customHeight="true" outlineLevel="0" collapsed="false">
      <c r="A60" s="22" t="n">
        <f aca="false">ROW()-39</f>
        <v>21</v>
      </c>
      <c r="B60" s="18" t="str">
        <f aca="false">IF(A60&lt;=Carrot_Bed_Cap,A60*Carrrot_Hours*Season*(1+Carrot_Dim_Return)^A60,"")</f>
        <v/>
      </c>
      <c r="C60" s="18" t="str">
        <f aca="false">IF(A60&lt;=Carrot_Bed_Cap,B60-IF(ISNUMBER(B59),B59,0),"")</f>
        <v/>
      </c>
      <c r="D60" s="23" t="str">
        <f aca="false">IF(A60&lt;=Carrot_Bed_Cap,Carrot_Price,"")</f>
        <v/>
      </c>
      <c r="E60" s="23" t="str">
        <f aca="false">IF(A60&lt;=Carrot_Bed_Cap,Carrot_Fertilizer,"")</f>
        <v/>
      </c>
      <c r="F60" s="23" t="str">
        <f aca="false">IF(A60&lt;=Carrot_Bed_Cap,C60*Blended_Labor_Rate,"")</f>
        <v/>
      </c>
      <c r="G60" s="23" t="str">
        <f aca="false">IF(A60&lt;=Carrot_Bed_Cap,D60-E60-F60,"")</f>
        <v/>
      </c>
      <c r="H60" s="23" t="str">
        <f aca="false">IF(A60&lt;=Carrot_Bed_Cap,IF(ISNUMBER(H59),H59,0)+G60,"")</f>
        <v/>
      </c>
      <c r="I60" s="24" t="str">
        <f aca="false">IF(AND(AND(ISNUMBER(G60),G60&lt;0,ISNUMBER(G59),G59&gt;=0),(A60=Carrot_Beds)),"&lt;- Cross-over &amp; Solver-selected",IF(AND(ISNUMBER(G60),G60&lt;0,ISNUMBER(G59),G59&gt;=0),"&lt;- Cross-over (next bed unprofitable)",IF((A60=Carrot_Beds),"&lt;- Solver-selected","")))</f>
        <v/>
      </c>
      <c r="J60" s="23" t="str">
        <f aca="false">IF(ISNUMBER(E60),E60+F60,"")</f>
        <v/>
      </c>
      <c r="K60" s="23" t="str">
        <f aca="false">IF(A60&lt;=Carrot_Bed_Cap,IF(B60&gt;Farmer_Hours+Temp_Worker_Count*Temp_Worker_Hours_Each,"over labor cap",Carrot_Fertilizer+(MIN(B60,Farmer_Hours)-MIN(N(B59),Farmer_Hours))*Farmer_Cost+(C60-(MIN(B60,Farmer_Hours)-MIN(N(B59),Farmer_Hours)))*Temp_Worker_Cost),"")</f>
        <v/>
      </c>
      <c r="L60" s="23" t="str">
        <f aca="false">IF(A60&lt;=Carrot_Bed_Cap,IF(B60&gt;Farmer_Hours+Temp_Worker_Count*Temp_Worker_Hours_Each,"over labor cap",(A60*Carrot_Fertilizer+MIN(B60,Farmer_Hours)*Farmer_Cost+MAX(B60-Farmer_Hours,0)*Temp_Worker_Cost)/A60),"")</f>
        <v/>
      </c>
      <c r="M60" s="23" t="str">
        <f aca="false">IF(ISNUMBER(L60),A60*(Carrot_Price-L60)-Fixed_Costs,IF(A60&lt;=Carrot_Bed_Cap,"over labor cap",""))</f>
        <v/>
      </c>
    </row>
    <row r="61" customFormat="false" ht="15" hidden="false" customHeight="true" outlineLevel="0" collapsed="false">
      <c r="A61" s="22" t="n">
        <f aca="false">ROW()-39</f>
        <v>22</v>
      </c>
      <c r="B61" s="18" t="str">
        <f aca="false">IF(A61&lt;=Carrot_Bed_Cap,A61*Carrrot_Hours*Season*(1+Carrot_Dim_Return)^A61,"")</f>
        <v/>
      </c>
      <c r="C61" s="18" t="str">
        <f aca="false">IF(A61&lt;=Carrot_Bed_Cap,B61-IF(ISNUMBER(B60),B60,0),"")</f>
        <v/>
      </c>
      <c r="D61" s="23" t="str">
        <f aca="false">IF(A61&lt;=Carrot_Bed_Cap,Carrot_Price,"")</f>
        <v/>
      </c>
      <c r="E61" s="23" t="str">
        <f aca="false">IF(A61&lt;=Carrot_Bed_Cap,Carrot_Fertilizer,"")</f>
        <v/>
      </c>
      <c r="F61" s="23" t="str">
        <f aca="false">IF(A61&lt;=Carrot_Bed_Cap,C61*Blended_Labor_Rate,"")</f>
        <v/>
      </c>
      <c r="G61" s="23" t="str">
        <f aca="false">IF(A61&lt;=Carrot_Bed_Cap,D61-E61-F61,"")</f>
        <v/>
      </c>
      <c r="H61" s="23" t="str">
        <f aca="false">IF(A61&lt;=Carrot_Bed_Cap,IF(ISNUMBER(H60),H60,0)+G61,"")</f>
        <v/>
      </c>
      <c r="I61" s="24" t="str">
        <f aca="false">IF(AND(AND(ISNUMBER(G61),G61&lt;0,ISNUMBER(G60),G60&gt;=0),(A61=Carrot_Beds)),"&lt;- Cross-over &amp; Solver-selected",IF(AND(ISNUMBER(G61),G61&lt;0,ISNUMBER(G60),G60&gt;=0),"&lt;- Cross-over (next bed unprofitable)",IF((A61=Carrot_Beds),"&lt;- Solver-selected","")))</f>
        <v/>
      </c>
      <c r="J61" s="23" t="str">
        <f aca="false">IF(ISNUMBER(E61),E61+F61,"")</f>
        <v/>
      </c>
      <c r="K61" s="23" t="str">
        <f aca="false">IF(A61&lt;=Carrot_Bed_Cap,IF(B61&gt;Farmer_Hours+Temp_Worker_Count*Temp_Worker_Hours_Each,"over labor cap",Carrot_Fertilizer+(MIN(B61,Farmer_Hours)-MIN(N(B60),Farmer_Hours))*Farmer_Cost+(C61-(MIN(B61,Farmer_Hours)-MIN(N(B60),Farmer_Hours)))*Temp_Worker_Cost),"")</f>
        <v/>
      </c>
      <c r="L61" s="23" t="str">
        <f aca="false">IF(A61&lt;=Carrot_Bed_Cap,IF(B61&gt;Farmer_Hours+Temp_Worker_Count*Temp_Worker_Hours_Each,"over labor cap",(A61*Carrot_Fertilizer+MIN(B61,Farmer_Hours)*Farmer_Cost+MAX(B61-Farmer_Hours,0)*Temp_Worker_Cost)/A61),"")</f>
        <v/>
      </c>
      <c r="M61" s="23" t="str">
        <f aca="false">IF(ISNUMBER(L61),A61*(Carrot_Price-L61)-Fixed_Costs,IF(A61&lt;=Carrot_Bed_Cap,"over labor cap",""))</f>
        <v/>
      </c>
    </row>
    <row r="62" customFormat="false" ht="15" hidden="false" customHeight="true" outlineLevel="0" collapsed="false">
      <c r="A62" s="22" t="n">
        <f aca="false">ROW()-39</f>
        <v>23</v>
      </c>
      <c r="B62" s="18" t="str">
        <f aca="false">IF(A62&lt;=Carrot_Bed_Cap,A62*Carrrot_Hours*Season*(1+Carrot_Dim_Return)^A62,"")</f>
        <v/>
      </c>
      <c r="C62" s="18" t="str">
        <f aca="false">IF(A62&lt;=Carrot_Bed_Cap,B62-IF(ISNUMBER(B61),B61,0),"")</f>
        <v/>
      </c>
      <c r="D62" s="23" t="str">
        <f aca="false">IF(A62&lt;=Carrot_Bed_Cap,Carrot_Price,"")</f>
        <v/>
      </c>
      <c r="E62" s="23" t="str">
        <f aca="false">IF(A62&lt;=Carrot_Bed_Cap,Carrot_Fertilizer,"")</f>
        <v/>
      </c>
      <c r="F62" s="23" t="str">
        <f aca="false">IF(A62&lt;=Carrot_Bed_Cap,C62*Blended_Labor_Rate,"")</f>
        <v/>
      </c>
      <c r="G62" s="23" t="str">
        <f aca="false">IF(A62&lt;=Carrot_Bed_Cap,D62-E62-F62,"")</f>
        <v/>
      </c>
      <c r="H62" s="23" t="str">
        <f aca="false">IF(A62&lt;=Carrot_Bed_Cap,IF(ISNUMBER(H61),H61,0)+G62,"")</f>
        <v/>
      </c>
      <c r="I62" s="24" t="str">
        <f aca="false">IF(AND(AND(ISNUMBER(G62),G62&lt;0,ISNUMBER(G61),G61&gt;=0),(A62=Carrot_Beds)),"&lt;- Cross-over &amp; Solver-selected",IF(AND(ISNUMBER(G62),G62&lt;0,ISNUMBER(G61),G61&gt;=0),"&lt;- Cross-over (next bed unprofitable)",IF((A62=Carrot_Beds),"&lt;- Solver-selected","")))</f>
        <v/>
      </c>
      <c r="J62" s="23" t="str">
        <f aca="false">IF(ISNUMBER(E62),E62+F62,"")</f>
        <v/>
      </c>
      <c r="K62" s="23" t="str">
        <f aca="false">IF(A62&lt;=Carrot_Bed_Cap,IF(B62&gt;Farmer_Hours+Temp_Worker_Count*Temp_Worker_Hours_Each,"over labor cap",Carrot_Fertilizer+(MIN(B62,Farmer_Hours)-MIN(N(B61),Farmer_Hours))*Farmer_Cost+(C62-(MIN(B62,Farmer_Hours)-MIN(N(B61),Farmer_Hours)))*Temp_Worker_Cost),"")</f>
        <v/>
      </c>
      <c r="L62" s="23" t="str">
        <f aca="false">IF(A62&lt;=Carrot_Bed_Cap,IF(B62&gt;Farmer_Hours+Temp_Worker_Count*Temp_Worker_Hours_Each,"over labor cap",(A62*Carrot_Fertilizer+MIN(B62,Farmer_Hours)*Farmer_Cost+MAX(B62-Farmer_Hours,0)*Temp_Worker_Cost)/A62),"")</f>
        <v/>
      </c>
      <c r="M62" s="23" t="str">
        <f aca="false">IF(ISNUMBER(L62),A62*(Carrot_Price-L62)-Fixed_Costs,IF(A62&lt;=Carrot_Bed_Cap,"over labor cap",""))</f>
        <v/>
      </c>
    </row>
    <row r="63" customFormat="false" ht="15" hidden="false" customHeight="true" outlineLevel="0" collapsed="false">
      <c r="A63" s="22" t="n">
        <f aca="false">ROW()-39</f>
        <v>24</v>
      </c>
      <c r="B63" s="18" t="str">
        <f aca="false">IF(A63&lt;=Carrot_Bed_Cap,A63*Carrrot_Hours*Season*(1+Carrot_Dim_Return)^A63,"")</f>
        <v/>
      </c>
      <c r="C63" s="18" t="str">
        <f aca="false">IF(A63&lt;=Carrot_Bed_Cap,B63-IF(ISNUMBER(B62),B62,0),"")</f>
        <v/>
      </c>
      <c r="D63" s="23" t="str">
        <f aca="false">IF(A63&lt;=Carrot_Bed_Cap,Carrot_Price,"")</f>
        <v/>
      </c>
      <c r="E63" s="23" t="str">
        <f aca="false">IF(A63&lt;=Carrot_Bed_Cap,Carrot_Fertilizer,"")</f>
        <v/>
      </c>
      <c r="F63" s="23" t="str">
        <f aca="false">IF(A63&lt;=Carrot_Bed_Cap,C63*Blended_Labor_Rate,"")</f>
        <v/>
      </c>
      <c r="G63" s="23" t="str">
        <f aca="false">IF(A63&lt;=Carrot_Bed_Cap,D63-E63-F63,"")</f>
        <v/>
      </c>
      <c r="H63" s="23" t="str">
        <f aca="false">IF(A63&lt;=Carrot_Bed_Cap,IF(ISNUMBER(H62),H62,0)+G63,"")</f>
        <v/>
      </c>
      <c r="I63" s="24" t="str">
        <f aca="false">IF(AND(AND(ISNUMBER(G63),G63&lt;0,ISNUMBER(G62),G62&gt;=0),(A63=Carrot_Beds)),"&lt;- Cross-over &amp; Solver-selected",IF(AND(ISNUMBER(G63),G63&lt;0,ISNUMBER(G62),G62&gt;=0),"&lt;- Cross-over (next bed unprofitable)",IF((A63=Carrot_Beds),"&lt;- Solver-selected","")))</f>
        <v/>
      </c>
      <c r="J63" s="23" t="str">
        <f aca="false">IF(ISNUMBER(E63),E63+F63,"")</f>
        <v/>
      </c>
      <c r="K63" s="23" t="str">
        <f aca="false">IF(A63&lt;=Carrot_Bed_Cap,IF(B63&gt;Farmer_Hours+Temp_Worker_Count*Temp_Worker_Hours_Each,"over labor cap",Carrot_Fertilizer+(MIN(B63,Farmer_Hours)-MIN(N(B62),Farmer_Hours))*Farmer_Cost+(C63-(MIN(B63,Farmer_Hours)-MIN(N(B62),Farmer_Hours)))*Temp_Worker_Cost),"")</f>
        <v/>
      </c>
      <c r="L63" s="23" t="str">
        <f aca="false">IF(A63&lt;=Carrot_Bed_Cap,IF(B63&gt;Farmer_Hours+Temp_Worker_Count*Temp_Worker_Hours_Each,"over labor cap",(A63*Carrot_Fertilizer+MIN(B63,Farmer_Hours)*Farmer_Cost+MAX(B63-Farmer_Hours,0)*Temp_Worker_Cost)/A63),"")</f>
        <v/>
      </c>
      <c r="M63" s="23" t="str">
        <f aca="false">IF(ISNUMBER(L63),A63*(Carrot_Price-L63)-Fixed_Costs,IF(A63&lt;=Carrot_Bed_Cap,"over labor cap",""))</f>
        <v/>
      </c>
    </row>
    <row r="64" customFormat="false" ht="15" hidden="false" customHeight="true" outlineLevel="0" collapsed="false">
      <c r="A64" s="22" t="n">
        <f aca="false">ROW()-39</f>
        <v>25</v>
      </c>
      <c r="B64" s="18" t="str">
        <f aca="false">IF(A64&lt;=Carrot_Bed_Cap,A64*Carrrot_Hours*Season*(1+Carrot_Dim_Return)^A64,"")</f>
        <v/>
      </c>
      <c r="C64" s="18" t="str">
        <f aca="false">IF(A64&lt;=Carrot_Bed_Cap,B64-IF(ISNUMBER(B63),B63,0),"")</f>
        <v/>
      </c>
      <c r="D64" s="23" t="str">
        <f aca="false">IF(A64&lt;=Carrot_Bed_Cap,Carrot_Price,"")</f>
        <v/>
      </c>
      <c r="E64" s="23" t="str">
        <f aca="false">IF(A64&lt;=Carrot_Bed_Cap,Carrot_Fertilizer,"")</f>
        <v/>
      </c>
      <c r="F64" s="23" t="str">
        <f aca="false">IF(A64&lt;=Carrot_Bed_Cap,C64*Blended_Labor_Rate,"")</f>
        <v/>
      </c>
      <c r="G64" s="23" t="str">
        <f aca="false">IF(A64&lt;=Carrot_Bed_Cap,D64-E64-F64,"")</f>
        <v/>
      </c>
      <c r="H64" s="23" t="str">
        <f aca="false">IF(A64&lt;=Carrot_Bed_Cap,IF(ISNUMBER(H63),H63,0)+G64,"")</f>
        <v/>
      </c>
      <c r="I64" s="24" t="str">
        <f aca="false">IF(AND(AND(ISNUMBER(G64),G64&lt;0,ISNUMBER(G63),G63&gt;=0),(A64=Carrot_Beds)),"&lt;- Cross-over &amp; Solver-selected",IF(AND(ISNUMBER(G64),G64&lt;0,ISNUMBER(G63),G63&gt;=0),"&lt;- Cross-over (next bed unprofitable)",IF((A64=Carrot_Beds),"&lt;- Solver-selected","")))</f>
        <v/>
      </c>
      <c r="J64" s="23" t="str">
        <f aca="false">IF(ISNUMBER(E64),E64+F64,"")</f>
        <v/>
      </c>
      <c r="K64" s="23" t="str">
        <f aca="false">IF(A64&lt;=Carrot_Bed_Cap,IF(B64&gt;Farmer_Hours+Temp_Worker_Count*Temp_Worker_Hours_Each,"over labor cap",Carrot_Fertilizer+(MIN(B64,Farmer_Hours)-MIN(N(B63),Farmer_Hours))*Farmer_Cost+(C64-(MIN(B64,Farmer_Hours)-MIN(N(B63),Farmer_Hours)))*Temp_Worker_Cost),"")</f>
        <v/>
      </c>
      <c r="L64" s="23" t="str">
        <f aca="false">IF(A64&lt;=Carrot_Bed_Cap,IF(B64&gt;Farmer_Hours+Temp_Worker_Count*Temp_Worker_Hours_Each,"over labor cap",(A64*Carrot_Fertilizer+MIN(B64,Farmer_Hours)*Farmer_Cost+MAX(B64-Farmer_Hours,0)*Temp_Worker_Cost)/A64),"")</f>
        <v/>
      </c>
      <c r="M64" s="23" t="str">
        <f aca="false">IF(ISNUMBER(L64),A64*(Carrot_Price-L64)-Fixed_Costs,IF(A64&lt;=Carrot_Bed_Cap,"over labor cap",""))</f>
        <v/>
      </c>
    </row>
    <row r="65" customFormat="false" ht="15" hidden="false" customHeight="true" outlineLevel="0" collapsed="false">
      <c r="A65" s="22" t="n">
        <f aca="false">ROW()-39</f>
        <v>26</v>
      </c>
      <c r="B65" s="18" t="str">
        <f aca="false">IF(A65&lt;=Carrot_Bed_Cap,A65*Carrrot_Hours*Season*(1+Carrot_Dim_Return)^A65,"")</f>
        <v/>
      </c>
      <c r="C65" s="18" t="str">
        <f aca="false">IF(A65&lt;=Carrot_Bed_Cap,B65-IF(ISNUMBER(B64),B64,0),"")</f>
        <v/>
      </c>
      <c r="D65" s="23" t="str">
        <f aca="false">IF(A65&lt;=Carrot_Bed_Cap,Carrot_Price,"")</f>
        <v/>
      </c>
      <c r="E65" s="23" t="str">
        <f aca="false">IF(A65&lt;=Carrot_Bed_Cap,Carrot_Fertilizer,"")</f>
        <v/>
      </c>
      <c r="F65" s="23" t="str">
        <f aca="false">IF(A65&lt;=Carrot_Bed_Cap,C65*Blended_Labor_Rate,"")</f>
        <v/>
      </c>
      <c r="G65" s="23" t="str">
        <f aca="false">IF(A65&lt;=Carrot_Bed_Cap,D65-E65-F65,"")</f>
        <v/>
      </c>
      <c r="H65" s="23" t="str">
        <f aca="false">IF(A65&lt;=Carrot_Bed_Cap,IF(ISNUMBER(H64),H64,0)+G65,"")</f>
        <v/>
      </c>
      <c r="I65" s="24" t="str">
        <f aca="false">IF(AND(AND(ISNUMBER(G65),G65&lt;0,ISNUMBER(G64),G64&gt;=0),(A65=Carrot_Beds)),"&lt;- Cross-over &amp; Solver-selected",IF(AND(ISNUMBER(G65),G65&lt;0,ISNUMBER(G64),G64&gt;=0),"&lt;- Cross-over (next bed unprofitable)",IF((A65=Carrot_Beds),"&lt;- Solver-selected","")))</f>
        <v/>
      </c>
      <c r="J65" s="23" t="str">
        <f aca="false">IF(ISNUMBER(E65),E65+F65,"")</f>
        <v/>
      </c>
      <c r="K65" s="23" t="str">
        <f aca="false">IF(A65&lt;=Carrot_Bed_Cap,IF(B65&gt;Farmer_Hours+Temp_Worker_Count*Temp_Worker_Hours_Each,"over labor cap",Carrot_Fertilizer+(MIN(B65,Farmer_Hours)-MIN(N(B64),Farmer_Hours))*Farmer_Cost+(C65-(MIN(B65,Farmer_Hours)-MIN(N(B64),Farmer_Hours)))*Temp_Worker_Cost),"")</f>
        <v/>
      </c>
      <c r="L65" s="23" t="str">
        <f aca="false">IF(A65&lt;=Carrot_Bed_Cap,IF(B65&gt;Farmer_Hours+Temp_Worker_Count*Temp_Worker_Hours_Each,"over labor cap",(A65*Carrot_Fertilizer+MIN(B65,Farmer_Hours)*Farmer_Cost+MAX(B65-Farmer_Hours,0)*Temp_Worker_Cost)/A65),"")</f>
        <v/>
      </c>
      <c r="M65" s="23" t="str">
        <f aca="false">IF(ISNUMBER(L65),A65*(Carrot_Price-L65)-Fixed_Costs,IF(A65&lt;=Carrot_Bed_Cap,"over labor cap",""))</f>
        <v/>
      </c>
    </row>
    <row r="66" customFormat="false" ht="15" hidden="false" customHeight="true" outlineLevel="0" collapsed="false">
      <c r="A66" s="22" t="n">
        <f aca="false">ROW()-39</f>
        <v>27</v>
      </c>
      <c r="B66" s="18" t="str">
        <f aca="false">IF(A66&lt;=Carrot_Bed_Cap,A66*Carrrot_Hours*Season*(1+Carrot_Dim_Return)^A66,"")</f>
        <v/>
      </c>
      <c r="C66" s="18" t="str">
        <f aca="false">IF(A66&lt;=Carrot_Bed_Cap,B66-IF(ISNUMBER(B65),B65,0),"")</f>
        <v/>
      </c>
      <c r="D66" s="23" t="str">
        <f aca="false">IF(A66&lt;=Carrot_Bed_Cap,Carrot_Price,"")</f>
        <v/>
      </c>
      <c r="E66" s="23" t="str">
        <f aca="false">IF(A66&lt;=Carrot_Bed_Cap,Carrot_Fertilizer,"")</f>
        <v/>
      </c>
      <c r="F66" s="23" t="str">
        <f aca="false">IF(A66&lt;=Carrot_Bed_Cap,C66*Blended_Labor_Rate,"")</f>
        <v/>
      </c>
      <c r="G66" s="23" t="str">
        <f aca="false">IF(A66&lt;=Carrot_Bed_Cap,D66-E66-F66,"")</f>
        <v/>
      </c>
      <c r="H66" s="23" t="str">
        <f aca="false">IF(A66&lt;=Carrot_Bed_Cap,IF(ISNUMBER(H65),H65,0)+G66,"")</f>
        <v/>
      </c>
      <c r="I66" s="24" t="str">
        <f aca="false">IF(AND(AND(ISNUMBER(G66),G66&lt;0,ISNUMBER(G65),G65&gt;=0),(A66=Carrot_Beds)),"&lt;- Cross-over &amp; Solver-selected",IF(AND(ISNUMBER(G66),G66&lt;0,ISNUMBER(G65),G65&gt;=0),"&lt;- Cross-over (next bed unprofitable)",IF((A66=Carrot_Beds),"&lt;- Solver-selected","")))</f>
        <v/>
      </c>
      <c r="J66" s="23" t="str">
        <f aca="false">IF(ISNUMBER(E66),E66+F66,"")</f>
        <v/>
      </c>
      <c r="K66" s="23" t="str">
        <f aca="false">IF(A66&lt;=Carrot_Bed_Cap,IF(B66&gt;Farmer_Hours+Temp_Worker_Count*Temp_Worker_Hours_Each,"over labor cap",Carrot_Fertilizer+(MIN(B66,Farmer_Hours)-MIN(N(B65),Farmer_Hours))*Farmer_Cost+(C66-(MIN(B66,Farmer_Hours)-MIN(N(B65),Farmer_Hours)))*Temp_Worker_Cost),"")</f>
        <v/>
      </c>
      <c r="L66" s="23" t="str">
        <f aca="false">IF(A66&lt;=Carrot_Bed_Cap,IF(B66&gt;Farmer_Hours+Temp_Worker_Count*Temp_Worker_Hours_Each,"over labor cap",(A66*Carrot_Fertilizer+MIN(B66,Farmer_Hours)*Farmer_Cost+MAX(B66-Farmer_Hours,0)*Temp_Worker_Cost)/A66),"")</f>
        <v/>
      </c>
      <c r="M66" s="23" t="str">
        <f aca="false">IF(ISNUMBER(L66),A66*(Carrot_Price-L66)-Fixed_Costs,IF(A66&lt;=Carrot_Bed_Cap,"over labor cap",""))</f>
        <v/>
      </c>
    </row>
    <row r="67" customFormat="false" ht="15" hidden="false" customHeight="true" outlineLevel="0" collapsed="false">
      <c r="A67" s="22" t="n">
        <f aca="false">ROW()-39</f>
        <v>28</v>
      </c>
      <c r="B67" s="18" t="str">
        <f aca="false">IF(A67&lt;=Carrot_Bed_Cap,A67*Carrrot_Hours*Season*(1+Carrot_Dim_Return)^A67,"")</f>
        <v/>
      </c>
      <c r="C67" s="18" t="str">
        <f aca="false">IF(A67&lt;=Carrot_Bed_Cap,B67-IF(ISNUMBER(B66),B66,0),"")</f>
        <v/>
      </c>
      <c r="D67" s="23" t="str">
        <f aca="false">IF(A67&lt;=Carrot_Bed_Cap,Carrot_Price,"")</f>
        <v/>
      </c>
      <c r="E67" s="23" t="str">
        <f aca="false">IF(A67&lt;=Carrot_Bed_Cap,Carrot_Fertilizer,"")</f>
        <v/>
      </c>
      <c r="F67" s="23" t="str">
        <f aca="false">IF(A67&lt;=Carrot_Bed_Cap,C67*Blended_Labor_Rate,"")</f>
        <v/>
      </c>
      <c r="G67" s="23" t="str">
        <f aca="false">IF(A67&lt;=Carrot_Bed_Cap,D67-E67-F67,"")</f>
        <v/>
      </c>
      <c r="H67" s="23" t="str">
        <f aca="false">IF(A67&lt;=Carrot_Bed_Cap,IF(ISNUMBER(H66),H66,0)+G67,"")</f>
        <v/>
      </c>
      <c r="I67" s="24" t="str">
        <f aca="false">IF(AND(AND(ISNUMBER(G67),G67&lt;0,ISNUMBER(G66),G66&gt;=0),(A67=Carrot_Beds)),"&lt;- Cross-over &amp; Solver-selected",IF(AND(ISNUMBER(G67),G67&lt;0,ISNUMBER(G66),G66&gt;=0),"&lt;- Cross-over (next bed unprofitable)",IF((A67=Carrot_Beds),"&lt;- Solver-selected","")))</f>
        <v/>
      </c>
      <c r="J67" s="23" t="str">
        <f aca="false">IF(ISNUMBER(E67),E67+F67,"")</f>
        <v/>
      </c>
      <c r="K67" s="23" t="str">
        <f aca="false">IF(A67&lt;=Carrot_Bed_Cap,IF(B67&gt;Farmer_Hours+Temp_Worker_Count*Temp_Worker_Hours_Each,"over labor cap",Carrot_Fertilizer+(MIN(B67,Farmer_Hours)-MIN(N(B66),Farmer_Hours))*Farmer_Cost+(C67-(MIN(B67,Farmer_Hours)-MIN(N(B66),Farmer_Hours)))*Temp_Worker_Cost),"")</f>
        <v/>
      </c>
      <c r="L67" s="23" t="str">
        <f aca="false">IF(A67&lt;=Carrot_Bed_Cap,IF(B67&gt;Farmer_Hours+Temp_Worker_Count*Temp_Worker_Hours_Each,"over labor cap",(A67*Carrot_Fertilizer+MIN(B67,Farmer_Hours)*Farmer_Cost+MAX(B67-Farmer_Hours,0)*Temp_Worker_Cost)/A67),"")</f>
        <v/>
      </c>
      <c r="M67" s="23" t="str">
        <f aca="false">IF(ISNUMBER(L67),A67*(Carrot_Price-L67)-Fixed_Costs,IF(A67&lt;=Carrot_Bed_Cap,"over labor cap",""))</f>
        <v/>
      </c>
    </row>
    <row r="68" customFormat="false" ht="15" hidden="false" customHeight="true" outlineLevel="0" collapsed="false">
      <c r="A68" s="22" t="n">
        <f aca="false">ROW()-39</f>
        <v>29</v>
      </c>
      <c r="B68" s="18" t="str">
        <f aca="false">IF(A68&lt;=Carrot_Bed_Cap,A68*Carrrot_Hours*Season*(1+Carrot_Dim_Return)^A68,"")</f>
        <v/>
      </c>
      <c r="C68" s="18" t="str">
        <f aca="false">IF(A68&lt;=Carrot_Bed_Cap,B68-IF(ISNUMBER(B67),B67,0),"")</f>
        <v/>
      </c>
      <c r="D68" s="23" t="str">
        <f aca="false">IF(A68&lt;=Carrot_Bed_Cap,Carrot_Price,"")</f>
        <v/>
      </c>
      <c r="E68" s="23" t="str">
        <f aca="false">IF(A68&lt;=Carrot_Bed_Cap,Carrot_Fertilizer,"")</f>
        <v/>
      </c>
      <c r="F68" s="23" t="str">
        <f aca="false">IF(A68&lt;=Carrot_Bed_Cap,C68*Blended_Labor_Rate,"")</f>
        <v/>
      </c>
      <c r="G68" s="23" t="str">
        <f aca="false">IF(A68&lt;=Carrot_Bed_Cap,D68-E68-F68,"")</f>
        <v/>
      </c>
      <c r="H68" s="23" t="str">
        <f aca="false">IF(A68&lt;=Carrot_Bed_Cap,IF(ISNUMBER(H67),H67,0)+G68,"")</f>
        <v/>
      </c>
      <c r="I68" s="24" t="str">
        <f aca="false">IF(AND(AND(ISNUMBER(G68),G68&lt;0,ISNUMBER(G67),G67&gt;=0),(A68=Carrot_Beds)),"&lt;- Cross-over &amp; Solver-selected",IF(AND(ISNUMBER(G68),G68&lt;0,ISNUMBER(G67),G67&gt;=0),"&lt;- Cross-over (next bed unprofitable)",IF((A68=Carrot_Beds),"&lt;- Solver-selected","")))</f>
        <v/>
      </c>
      <c r="J68" s="23" t="str">
        <f aca="false">IF(ISNUMBER(E68),E68+F68,"")</f>
        <v/>
      </c>
      <c r="K68" s="23" t="str">
        <f aca="false">IF(A68&lt;=Carrot_Bed_Cap,IF(B68&gt;Farmer_Hours+Temp_Worker_Count*Temp_Worker_Hours_Each,"over labor cap",Carrot_Fertilizer+(MIN(B68,Farmer_Hours)-MIN(N(B67),Farmer_Hours))*Farmer_Cost+(C68-(MIN(B68,Farmer_Hours)-MIN(N(B67),Farmer_Hours)))*Temp_Worker_Cost),"")</f>
        <v/>
      </c>
      <c r="L68" s="23" t="str">
        <f aca="false">IF(A68&lt;=Carrot_Bed_Cap,IF(B68&gt;Farmer_Hours+Temp_Worker_Count*Temp_Worker_Hours_Each,"over labor cap",(A68*Carrot_Fertilizer+MIN(B68,Farmer_Hours)*Farmer_Cost+MAX(B68-Farmer_Hours,0)*Temp_Worker_Cost)/A68),"")</f>
        <v/>
      </c>
      <c r="M68" s="23" t="str">
        <f aca="false">IF(ISNUMBER(L68),A68*(Carrot_Price-L68)-Fixed_Costs,IF(A68&lt;=Carrot_Bed_Cap,"over labor cap",""))</f>
        <v/>
      </c>
    </row>
    <row r="69" customFormat="false" ht="15" hidden="false" customHeight="true" outlineLevel="0" collapsed="false">
      <c r="A69" s="22" t="n">
        <f aca="false">ROW()-39</f>
        <v>30</v>
      </c>
      <c r="B69" s="18" t="str">
        <f aca="false">IF(A69&lt;=Carrot_Bed_Cap,A69*Carrrot_Hours*Season*(1+Carrot_Dim_Return)^A69,"")</f>
        <v/>
      </c>
      <c r="C69" s="18" t="str">
        <f aca="false">IF(A69&lt;=Carrot_Bed_Cap,B69-IF(ISNUMBER(B68),B68,0),"")</f>
        <v/>
      </c>
      <c r="D69" s="23" t="str">
        <f aca="false">IF(A69&lt;=Carrot_Bed_Cap,Carrot_Price,"")</f>
        <v/>
      </c>
      <c r="E69" s="23" t="str">
        <f aca="false">IF(A69&lt;=Carrot_Bed_Cap,Carrot_Fertilizer,"")</f>
        <v/>
      </c>
      <c r="F69" s="23" t="str">
        <f aca="false">IF(A69&lt;=Carrot_Bed_Cap,C69*Blended_Labor_Rate,"")</f>
        <v/>
      </c>
      <c r="G69" s="23" t="str">
        <f aca="false">IF(A69&lt;=Carrot_Bed_Cap,D69-E69-F69,"")</f>
        <v/>
      </c>
      <c r="H69" s="23" t="str">
        <f aca="false">IF(A69&lt;=Carrot_Bed_Cap,IF(ISNUMBER(H68),H68,0)+G69,"")</f>
        <v/>
      </c>
      <c r="I69" s="24" t="str">
        <f aca="false">IF(AND(AND(ISNUMBER(G69),G69&lt;0,ISNUMBER(G68),G68&gt;=0),(A69=Carrot_Beds)),"&lt;- Cross-over &amp; Solver-selected",IF(AND(ISNUMBER(G69),G69&lt;0,ISNUMBER(G68),G68&gt;=0),"&lt;- Cross-over (next bed unprofitable)",IF((A69=Carrot_Beds),"&lt;- Solver-selected","")))</f>
        <v/>
      </c>
      <c r="J69" s="23" t="str">
        <f aca="false">IF(ISNUMBER(E69),E69+F69,"")</f>
        <v/>
      </c>
      <c r="K69" s="23" t="str">
        <f aca="false">IF(A69&lt;=Carrot_Bed_Cap,IF(B69&gt;Farmer_Hours+Temp_Worker_Count*Temp_Worker_Hours_Each,"over labor cap",Carrot_Fertilizer+(MIN(B69,Farmer_Hours)-MIN(N(B68),Farmer_Hours))*Farmer_Cost+(C69-(MIN(B69,Farmer_Hours)-MIN(N(B68),Farmer_Hours)))*Temp_Worker_Cost),"")</f>
        <v/>
      </c>
      <c r="L69" s="23" t="str">
        <f aca="false">IF(A69&lt;=Carrot_Bed_Cap,IF(B69&gt;Farmer_Hours+Temp_Worker_Count*Temp_Worker_Hours_Each,"over labor cap",(A69*Carrot_Fertilizer+MIN(B69,Farmer_Hours)*Farmer_Cost+MAX(B69-Farmer_Hours,0)*Temp_Worker_Cost)/A69),"")</f>
        <v/>
      </c>
      <c r="M69" s="23" t="str">
        <f aca="false">IF(ISNUMBER(L69),A69*(Carrot_Price-L69)-Fixed_Costs,IF(A69&lt;=Carrot_Bed_Cap,"over labor cap",""))</f>
        <v/>
      </c>
    </row>
    <row r="72" customFormat="false" ht="15" hidden="false" customHeight="true" outlineLevel="0" collapsed="false">
      <c r="A72" s="4" t="s">
        <v>13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customFormat="false" ht="51.75" hidden="false" customHeight="true" outlineLevel="0" collapsed="false">
      <c r="A73" s="5" t="s">
        <v>55</v>
      </c>
      <c r="B73" s="5" t="s">
        <v>56</v>
      </c>
      <c r="C73" s="5" t="s">
        <v>57</v>
      </c>
      <c r="D73" s="5" t="s">
        <v>58</v>
      </c>
      <c r="E73" s="5" t="s">
        <v>59</v>
      </c>
      <c r="F73" s="5" t="s">
        <v>60</v>
      </c>
      <c r="G73" s="5" t="s">
        <v>61</v>
      </c>
      <c r="H73" s="5" t="s">
        <v>62</v>
      </c>
      <c r="I73" s="5" t="s">
        <v>63</v>
      </c>
      <c r="J73" s="5" t="s">
        <v>64</v>
      </c>
      <c r="K73" s="5" t="s">
        <v>65</v>
      </c>
      <c r="L73" s="5" t="s">
        <v>66</v>
      </c>
      <c r="M73" s="5" t="s">
        <v>67</v>
      </c>
    </row>
    <row r="74" customFormat="false" ht="15" hidden="false" customHeight="true" outlineLevel="0" collapsed="false">
      <c r="A74" s="22" t="n">
        <f aca="false">ROW()-73</f>
        <v>1</v>
      </c>
      <c r="B74" s="18" t="n">
        <f aca="false">IF(A74&lt;=Mesclun_Bed_Cap,A74*Mesclun_Hours*Season*(1+Mesclun_Dim_Return)^A74,"")</f>
        <v>45.5625</v>
      </c>
      <c r="C74" s="18" t="n">
        <f aca="false">IF(A74&lt;=Mesclun_Bed_Cap,B74,"")</f>
        <v>45.5625</v>
      </c>
      <c r="D74" s="23" t="n">
        <f aca="false">IF(A74&lt;=Mesclun_Bed_Cap,Mesclun_Price,"")</f>
        <v>2700</v>
      </c>
      <c r="E74" s="23" t="n">
        <f aca="false">IF(A74&lt;=Mesclun_Bed_Cap,Mesclun_Fertilizer,"")</f>
        <v>880</v>
      </c>
      <c r="F74" s="23" t="n">
        <f aca="false">IF(A74&lt;=Mesclun_Bed_Cap,MAX(0,MIN((Tomato_Beds*Tomato_Hours*Season*(1+Tomato_Dim_Return)^Tomato_Beds+Carrot_Beds*Carrrot_Hours*Season*(1+Carrot_Dim_Return)^Carrot_Beds)+B74,Farmer_Hours)-MIN((Tomato_Beds*Tomato_Hours*Season*(1+Tomato_Dim_Return)^Tomato_Beds+Carrot_Beds*Carrrot_Hours*Season*(1+Carrot_Dim_Return)^Carrot_Beds)+IF(ISNUMBER(B73),B73,0),Farmer_Hours))*Farmer_Cost+(C74-MAX(0,MIN((Tomato_Beds*Tomato_Hours*Season*(1+Tomato_Dim_Return)^Tomato_Beds+Carrot_Beds*Carrrot_Hours*Season*(1+Carrot_Dim_Return)^Carrot_Beds)+B74,Farmer_Hours)-MIN((Tomato_Beds*Tomato_Hours*Season*(1+Tomato_Dim_Return)^Tomato_Beds+Carrot_Beds*Carrrot_Hours*Season*(1+Carrot_Dim_Return)^Carrot_Beds)+IF(ISNUMBER(B73),B73,0),Farmer_Hours)))*Temp_Worker_Cost,"")</f>
        <v>791.015625</v>
      </c>
      <c r="G74" s="23" t="n">
        <f aca="false">IF(A74&lt;=Mesclun_Bed_Cap,D74-E74-F74,"")</f>
        <v>1028.984375</v>
      </c>
      <c r="H74" s="23" t="n">
        <f aca="false">IF(A74&lt;=Mesclun_Bed_Cap,G74,"")</f>
        <v>1028.984375</v>
      </c>
      <c r="I74" s="24" t="str">
        <f aca="false">IF((A74=Mesclun_Beds),"&lt;- Solver-selected","")</f>
        <v/>
      </c>
      <c r="J74" s="23" t="n">
        <f aca="false">IF(ISNUMBER(E74),E74+F74,"")</f>
        <v>1671.015625</v>
      </c>
      <c r="K74" s="23" t="n">
        <f aca="false">IF(A74&lt;=Mesclun_Bed_Cap,IF(B74&gt;Farmer_Hours+Temp_Worker_Count*Temp_Worker_Hours_Each,"over labor cap",Mesclun_Fertilizer+(MIN(B74,Farmer_Hours)-MIN(N(B73),Farmer_Hours))*Farmer_Cost+(C74-(MIN(B74,Farmer_Hours)-MIN(N(B73),Farmer_Hours)))*Temp_Worker_Cost),"")</f>
        <v>2462.03125</v>
      </c>
      <c r="L74" s="23" t="n">
        <f aca="false">IF(A74&lt;=Mesclun_Bed_Cap,IF(B74&gt;Farmer_Hours+Temp_Worker_Count*Temp_Worker_Hours_Each,"over labor cap",(A74*Mesclun_Fertilizer+MIN(B74,Farmer_Hours)*Farmer_Cost+MAX(B74-Farmer_Hours,0)*Temp_Worker_Cost)/A74),"")</f>
        <v>2462.03125</v>
      </c>
      <c r="M74" s="23" t="n">
        <f aca="false">IF(ISNUMBER(L74),A74*(Mesclun_Price-L74)-Fixed_Costs,IF(A74&lt;=Mesclun_Bed_Cap,"over labor cap",""))</f>
        <v>-19762.03125</v>
      </c>
    </row>
    <row r="75" customFormat="false" ht="15" hidden="false" customHeight="true" outlineLevel="0" collapsed="false">
      <c r="A75" s="22" t="n">
        <f aca="false">ROW()-73</f>
        <v>2</v>
      </c>
      <c r="B75" s="18" t="n">
        <f aca="false">IF(A75&lt;=Mesclun_Bed_Cap,A75*Mesclun_Hours*Season*(1+Mesclun_Dim_Return)^A75,"")</f>
        <v>92.2640625</v>
      </c>
      <c r="C75" s="18" t="n">
        <f aca="false">IF(A75&lt;=Mesclun_Bed_Cap,B75-IF(ISNUMBER(B74),B74,0),"")</f>
        <v>46.7015625</v>
      </c>
      <c r="D75" s="23" t="n">
        <f aca="false">IF(A75&lt;=Mesclun_Bed_Cap,Mesclun_Price,"")</f>
        <v>2700</v>
      </c>
      <c r="E75" s="23" t="n">
        <f aca="false">IF(A75&lt;=Mesclun_Bed_Cap,Mesclun_Fertilizer,"")</f>
        <v>880</v>
      </c>
      <c r="F75" s="23" t="n">
        <f aca="false">IF(A75&lt;=Mesclun_Bed_Cap,MAX(0,MIN((Tomato_Beds*Tomato_Hours*Season*(1+Tomato_Dim_Return)^Tomato_Beds+Carrot_Beds*Carrrot_Hours*Season*(1+Carrot_Dim_Return)^Carrot_Beds)+B75,Farmer_Hours)-MIN((Tomato_Beds*Tomato_Hours*Season*(1+Tomato_Dim_Return)^Tomato_Beds+Carrot_Beds*Carrrot_Hours*Season*(1+Carrot_Dim_Return)^Carrot_Beds)+IF(ISNUMBER(B74),B74,0),Farmer_Hours))*Farmer_Cost+(C75-MAX(0,MIN((Tomato_Beds*Tomato_Hours*Season*(1+Tomato_Dim_Return)^Tomato_Beds+Carrot_Beds*Carrrot_Hours*Season*(1+Carrot_Dim_Return)^Carrot_Beds)+B75,Farmer_Hours)-MIN((Tomato_Beds*Tomato_Hours*Season*(1+Tomato_Dim_Return)^Tomato_Beds+Carrot_Beds*Carrrot_Hours*Season*(1+Carrot_Dim_Return)^Carrot_Beds)+IF(ISNUMBER(B74),B74,0),Farmer_Hours)))*Temp_Worker_Cost,"")</f>
        <v>810.791015625</v>
      </c>
      <c r="G75" s="23" t="n">
        <f aca="false">IF(A75&lt;=Mesclun_Bed_Cap,D75-E75-F75,"")</f>
        <v>1009.208984375</v>
      </c>
      <c r="H75" s="23" t="n">
        <f aca="false">IF(A75&lt;=Mesclun_Bed_Cap,IF(ISNUMBER(H74),H74,0)+G75,"")</f>
        <v>2038.193359375</v>
      </c>
      <c r="I75" s="24" t="str">
        <f aca="false">IF(AND(AND(ISNUMBER(G75),G75&lt;0,ISNUMBER(G74),G74&gt;=0),(A75=Mesclun_Beds)),"&lt;- Cross-over &amp; Solver-selected",IF(AND(ISNUMBER(G75),G75&lt;0,ISNUMBER(G74),G74&gt;=0),"&lt;- Cross-over (next bed unprofitable)",IF((A75=Mesclun_Beds),"&lt;- Solver-selected","")))</f>
        <v/>
      </c>
      <c r="J75" s="23" t="n">
        <f aca="false">IF(ISNUMBER(E75),E75+F75,"")</f>
        <v>1690.791015625</v>
      </c>
      <c r="K75" s="23" t="n">
        <f aca="false">IF(A75&lt;=Mesclun_Bed_Cap,IF(B75&gt;Farmer_Hours+Temp_Worker_Count*Temp_Worker_Hours_Each,"over labor cap",Mesclun_Fertilizer+(MIN(B75,Farmer_Hours)-MIN(N(B74),Farmer_Hours))*Farmer_Cost+(C75-(MIN(B75,Farmer_Hours)-MIN(N(B74),Farmer_Hours)))*Temp_Worker_Cost),"")</f>
        <v>2501.58203125</v>
      </c>
      <c r="L75" s="23" t="n">
        <f aca="false">IF(A75&lt;=Mesclun_Bed_Cap,IF(B75&gt;Farmer_Hours+Temp_Worker_Count*Temp_Worker_Hours_Each,"over labor cap",(A75*Mesclun_Fertilizer+MIN(B75,Farmer_Hours)*Farmer_Cost+MAX(B75-Farmer_Hours,0)*Temp_Worker_Cost)/A75),"")</f>
        <v>2481.806640625</v>
      </c>
      <c r="M75" s="23" t="n">
        <f aca="false">IF(ISNUMBER(L75),A75*(Mesclun_Price-L75)-Fixed_Costs,IF(A75&lt;=Mesclun_Bed_Cap,"over labor cap",""))</f>
        <v>-19563.61328125</v>
      </c>
    </row>
    <row r="76" customFormat="false" ht="15" hidden="false" customHeight="true" outlineLevel="0" collapsed="false">
      <c r="A76" s="22" t="n">
        <f aca="false">ROW()-73</f>
        <v>3</v>
      </c>
      <c r="B76" s="18" t="n">
        <f aca="false">IF(A76&lt;=Mesclun_Bed_Cap,A76*Mesclun_Hours*Season*(1+Mesclun_Dim_Return)^A76,"")</f>
        <v>140.126044921875</v>
      </c>
      <c r="C76" s="18" t="n">
        <f aca="false">IF(A76&lt;=Mesclun_Bed_Cap,B76-IF(ISNUMBER(B75),B75,0),"")</f>
        <v>47.861982421875</v>
      </c>
      <c r="D76" s="23" t="n">
        <f aca="false">IF(A76&lt;=Mesclun_Bed_Cap,Mesclun_Price,"")</f>
        <v>2700</v>
      </c>
      <c r="E76" s="23" t="n">
        <f aca="false">IF(A76&lt;=Mesclun_Bed_Cap,Mesclun_Fertilizer,"")</f>
        <v>880</v>
      </c>
      <c r="F76" s="23" t="n">
        <f aca="false">IF(A76&lt;=Mesclun_Bed_Cap,MAX(0,MIN((Tomato_Beds*Tomato_Hours*Season*(1+Tomato_Dim_Return)^Tomato_Beds+Carrot_Beds*Carrrot_Hours*Season*(1+Carrot_Dim_Return)^Carrot_Beds)+B76,Farmer_Hours)-MIN((Tomato_Beds*Tomato_Hours*Season*(1+Tomato_Dim_Return)^Tomato_Beds+Carrot_Beds*Carrrot_Hours*Season*(1+Carrot_Dim_Return)^Carrot_Beds)+IF(ISNUMBER(B75),B75,0),Farmer_Hours))*Farmer_Cost+(C76-MAX(0,MIN((Tomato_Beds*Tomato_Hours*Season*(1+Tomato_Dim_Return)^Tomato_Beds+Carrot_Beds*Carrrot_Hours*Season*(1+Carrot_Dim_Return)^Carrot_Beds)+B76,Farmer_Hours)-MIN((Tomato_Beds*Tomato_Hours*Season*(1+Tomato_Dim_Return)^Tomato_Beds+Carrot_Beds*Carrrot_Hours*Season*(1+Carrot_Dim_Return)^Carrot_Beds)+IF(ISNUMBER(B75),B75,0),Farmer_Hours)))*Temp_Worker_Cost,"")</f>
        <v>830.937194824218</v>
      </c>
      <c r="G76" s="23" t="n">
        <f aca="false">IF(A76&lt;=Mesclun_Bed_Cap,D76-E76-F76,"")</f>
        <v>989.062805175782</v>
      </c>
      <c r="H76" s="23" t="n">
        <f aca="false">IF(A76&lt;=Mesclun_Bed_Cap,IF(ISNUMBER(H75),H75,0)+G76,"")</f>
        <v>3027.25616455078</v>
      </c>
      <c r="I76" s="24" t="str">
        <f aca="false">IF(AND(AND(ISNUMBER(G76),G76&lt;0,ISNUMBER(G75),G75&gt;=0),(A76=Mesclun_Beds)),"&lt;- Cross-over &amp; Solver-selected",IF(AND(ISNUMBER(G76),G76&lt;0,ISNUMBER(G75),G75&gt;=0),"&lt;- Cross-over (next bed unprofitable)",IF((A76=Mesclun_Beds),"&lt;- Solver-selected","")))</f>
        <v/>
      </c>
      <c r="J76" s="23" t="n">
        <f aca="false">IF(ISNUMBER(E76),E76+F76,"")</f>
        <v>1710.93719482422</v>
      </c>
      <c r="K76" s="23" t="n">
        <f aca="false">IF(A76&lt;=Mesclun_Bed_Cap,IF(B76&gt;Farmer_Hours+Temp_Worker_Count*Temp_Worker_Hours_Each,"over labor cap",Mesclun_Fertilizer+(MIN(B76,Farmer_Hours)-MIN(N(B75),Farmer_Hours))*Farmer_Cost+(C76-(MIN(B76,Farmer_Hours)-MIN(N(B75),Farmer_Hours)))*Temp_Worker_Cost),"")</f>
        <v>2541.87438964844</v>
      </c>
      <c r="L76" s="23" t="n">
        <f aca="false">IF(A76&lt;=Mesclun_Bed_Cap,IF(B76&gt;Farmer_Hours+Temp_Worker_Count*Temp_Worker_Hours_Each,"over labor cap",(A76*Mesclun_Fertilizer+MIN(B76,Farmer_Hours)*Farmer_Cost+MAX(B76-Farmer_Hours,0)*Temp_Worker_Cost)/A76),"")</f>
        <v>2501.82922363281</v>
      </c>
      <c r="M76" s="23" t="n">
        <f aca="false">IF(ISNUMBER(L76),A76*(Mesclun_Price-L76)-Fixed_Costs,IF(A76&lt;=Mesclun_Bed_Cap,"over labor cap",""))</f>
        <v>-19405.4876708984</v>
      </c>
    </row>
    <row r="77" customFormat="false" ht="15" hidden="false" customHeight="true" outlineLevel="0" collapsed="false">
      <c r="A77" s="22" t="n">
        <f aca="false">ROW()-73</f>
        <v>4</v>
      </c>
      <c r="B77" s="18" t="n">
        <f aca="false">IF(A77&lt;=Mesclun_Bed_Cap,A77*Mesclun_Hours*Season*(1+Mesclun_Dim_Return)^A77,"")</f>
        <v>189.170160644531</v>
      </c>
      <c r="C77" s="18" t="n">
        <f aca="false">IF(A77&lt;=Mesclun_Bed_Cap,B77-IF(ISNUMBER(B76),B76,0),"")</f>
        <v>49.0441157226562</v>
      </c>
      <c r="D77" s="23" t="n">
        <f aca="false">IF(A77&lt;=Mesclun_Bed_Cap,Mesclun_Price,"")</f>
        <v>2700</v>
      </c>
      <c r="E77" s="23" t="n">
        <f aca="false">IF(A77&lt;=Mesclun_Bed_Cap,Mesclun_Fertilizer,"")</f>
        <v>880</v>
      </c>
      <c r="F77" s="23" t="n">
        <f aca="false">IF(A77&lt;=Mesclun_Bed_Cap,MAX(0,MIN((Tomato_Beds*Tomato_Hours*Season*(1+Tomato_Dim_Return)^Tomato_Beds+Carrot_Beds*Carrrot_Hours*Season*(1+Carrot_Dim_Return)^Carrot_Beds)+B77,Farmer_Hours)-MIN((Tomato_Beds*Tomato_Hours*Season*(1+Tomato_Dim_Return)^Tomato_Beds+Carrot_Beds*Carrrot_Hours*Season*(1+Carrot_Dim_Return)^Carrot_Beds)+IF(ISNUMBER(B76),B76,0),Farmer_Hours))*Farmer_Cost+(C77-MAX(0,MIN((Tomato_Beds*Tomato_Hours*Season*(1+Tomato_Dim_Return)^Tomato_Beds+Carrot_Beds*Carrrot_Hours*Season*(1+Carrot_Dim_Return)^Carrot_Beds)+B77,Farmer_Hours)-MIN((Tomato_Beds*Tomato_Hours*Season*(1+Tomato_Dim_Return)^Tomato_Beds+Carrot_Beds*Carrrot_Hours*Season*(1+Carrot_Dim_Return)^Carrot_Beds)+IF(ISNUMBER(B76),B76,0),Farmer_Hours)))*Temp_Worker_Cost,"")</f>
        <v>851.460342407226</v>
      </c>
      <c r="G77" s="23" t="n">
        <f aca="false">IF(A77&lt;=Mesclun_Bed_Cap,D77-E77-F77,"")</f>
        <v>968.539657592774</v>
      </c>
      <c r="H77" s="23" t="n">
        <f aca="false">IF(A77&lt;=Mesclun_Bed_Cap,IF(ISNUMBER(H76),H76,0)+G77,"")</f>
        <v>3995.79582214356</v>
      </c>
      <c r="I77" s="24" t="str">
        <f aca="false">IF(AND(AND(ISNUMBER(G77),G77&lt;0,ISNUMBER(G76),G76&gt;=0),(A77=Mesclun_Beds)),"&lt;- Cross-over &amp; Solver-selected",IF(AND(ISNUMBER(G77),G77&lt;0,ISNUMBER(G76),G76&gt;=0),"&lt;- Cross-over (next bed unprofitable)",IF((A77=Mesclun_Beds),"&lt;- Solver-selected","")))</f>
        <v/>
      </c>
      <c r="J77" s="23" t="n">
        <f aca="false">IF(ISNUMBER(E77),E77+F77,"")</f>
        <v>1731.46034240723</v>
      </c>
      <c r="K77" s="23" t="n">
        <f aca="false">IF(A77&lt;=Mesclun_Bed_Cap,IF(B77&gt;Farmer_Hours+Temp_Worker_Count*Temp_Worker_Hours_Each,"over labor cap",Mesclun_Fertilizer+(MIN(B77,Farmer_Hours)-MIN(N(B76),Farmer_Hours))*Farmer_Cost+(C77-(MIN(B77,Farmer_Hours)-MIN(N(B76),Farmer_Hours)))*Temp_Worker_Cost),"")</f>
        <v>2582.92068481445</v>
      </c>
      <c r="L77" s="23" t="n">
        <f aca="false">IF(A77&lt;=Mesclun_Bed_Cap,IF(B77&gt;Farmer_Hours+Temp_Worker_Count*Temp_Worker_Hours_Each,"over labor cap",(A77*Mesclun_Fertilizer+MIN(B77,Farmer_Hours)*Farmer_Cost+MAX(B77-Farmer_Hours,0)*Temp_Worker_Cost)/A77),"")</f>
        <v>2522.10208892822</v>
      </c>
      <c r="M77" s="23" t="n">
        <f aca="false">IF(ISNUMBER(L77),A77*(Mesclun_Price-L77)-Fixed_Costs,IF(A77&lt;=Mesclun_Bed_Cap,"over labor cap",""))</f>
        <v>-19288.4083557129</v>
      </c>
    </row>
    <row r="78" customFormat="false" ht="15" hidden="false" customHeight="true" outlineLevel="0" collapsed="false">
      <c r="A78" s="22" t="n">
        <f aca="false">ROW()-73</f>
        <v>5</v>
      </c>
      <c r="B78" s="18" t="n">
        <f aca="false">IF(A78&lt;=Mesclun_Bed_Cap,A78*Mesclun_Hours*Season*(1+Mesclun_Dim_Return)^A78,"")</f>
        <v>239.418484565735</v>
      </c>
      <c r="C78" s="18" t="n">
        <f aca="false">IF(A78&lt;=Mesclun_Bed_Cap,B78-IF(ISNUMBER(B77),B77,0),"")</f>
        <v>50.2483239212036</v>
      </c>
      <c r="D78" s="23" t="n">
        <f aca="false">IF(A78&lt;=Mesclun_Bed_Cap,Mesclun_Price,"")</f>
        <v>2700</v>
      </c>
      <c r="E78" s="23" t="n">
        <f aca="false">IF(A78&lt;=Mesclun_Bed_Cap,Mesclun_Fertilizer,"")</f>
        <v>880</v>
      </c>
      <c r="F78" s="23" t="n">
        <f aca="false">IF(A78&lt;=Mesclun_Bed_Cap,MAX(0,MIN((Tomato_Beds*Tomato_Hours*Season*(1+Tomato_Dim_Return)^Tomato_Beds+Carrot_Beds*Carrrot_Hours*Season*(1+Carrot_Dim_Return)^Carrot_Beds)+B78,Farmer_Hours)-MIN((Tomato_Beds*Tomato_Hours*Season*(1+Tomato_Dim_Return)^Tomato_Beds+Carrot_Beds*Carrrot_Hours*Season*(1+Carrot_Dim_Return)^Carrot_Beds)+IF(ISNUMBER(B77),B77,0),Farmer_Hours))*Farmer_Cost+(C78-MAX(0,MIN((Tomato_Beds*Tomato_Hours*Season*(1+Tomato_Dim_Return)^Tomato_Beds+Carrot_Beds*Carrrot_Hours*Season*(1+Carrot_Dim_Return)^Carrot_Beds)+B78,Farmer_Hours)-MIN((Tomato_Beds*Tomato_Hours*Season*(1+Tomato_Dim_Return)^Tomato_Beds+Carrot_Beds*Carrrot_Hours*Season*(1+Carrot_Dim_Return)^Carrot_Beds)+IF(ISNUMBER(B77),B77,0),Farmer_Hours)))*Temp_Worker_Cost,"")</f>
        <v>872.366734743118</v>
      </c>
      <c r="G78" s="23" t="n">
        <f aca="false">IF(A78&lt;=Mesclun_Bed_Cap,D78-E78-F78,"")</f>
        <v>947.633265256882</v>
      </c>
      <c r="H78" s="23" t="n">
        <f aca="false">IF(A78&lt;=Mesclun_Bed_Cap,IF(ISNUMBER(H77),H77,0)+G78,"")</f>
        <v>4943.42908740044</v>
      </c>
      <c r="I78" s="24" t="str">
        <f aca="false">IF(AND(AND(ISNUMBER(G78),G78&lt;0,ISNUMBER(G77),G77&gt;=0),(A78=Mesclun_Beds)),"&lt;- Cross-over &amp; Solver-selected",IF(AND(ISNUMBER(G78),G78&lt;0,ISNUMBER(G77),G77&gt;=0),"&lt;- Cross-over (next bed unprofitable)",IF((A78=Mesclun_Beds),"&lt;- Solver-selected","")))</f>
        <v/>
      </c>
      <c r="J78" s="23" t="n">
        <f aca="false">IF(ISNUMBER(E78),E78+F78,"")</f>
        <v>1752.36673474312</v>
      </c>
      <c r="K78" s="23" t="n">
        <f aca="false">IF(A78&lt;=Mesclun_Bed_Cap,IF(B78&gt;Farmer_Hours+Temp_Worker_Count*Temp_Worker_Hours_Each,"over labor cap",Mesclun_Fertilizer+(MIN(B78,Farmer_Hours)-MIN(N(B77),Farmer_Hours))*Farmer_Cost+(C78-(MIN(B78,Farmer_Hours)-MIN(N(B77),Farmer_Hours)))*Temp_Worker_Cost),"")</f>
        <v>2624.73346948624</v>
      </c>
      <c r="L78" s="23" t="n">
        <f aca="false">IF(A78&lt;=Mesclun_Bed_Cap,IF(B78&gt;Farmer_Hours+Temp_Worker_Count*Temp_Worker_Hours_Each,"over labor cap",(A78*Mesclun_Fertilizer+MIN(B78,Farmer_Hours)*Farmer_Cost+MAX(B78-Farmer_Hours,0)*Temp_Worker_Cost)/A78),"")</f>
        <v>2542.62836503983</v>
      </c>
      <c r="M78" s="23" t="n">
        <f aca="false">IF(ISNUMBER(L78),A78*(Mesclun_Price-L78)-Fixed_Costs,IF(A78&lt;=Mesclun_Bed_Cap,"over labor cap",""))</f>
        <v>-19213.1418251991</v>
      </c>
    </row>
    <row r="79" customFormat="false" ht="15" hidden="false" customHeight="true" outlineLevel="0" collapsed="false">
      <c r="A79" s="22" t="n">
        <f aca="false">ROW()-73</f>
        <v>6</v>
      </c>
      <c r="B79" s="18" t="n">
        <f aca="false">IF(A79&lt;=Mesclun_Bed_Cap,A79*Mesclun_Hours*Season*(1+Mesclun_Dim_Return)^A79,"")</f>
        <v>290.893458747368</v>
      </c>
      <c r="C79" s="18" t="n">
        <f aca="false">IF(A79&lt;=Mesclun_Bed_Cap,B79-IF(ISNUMBER(B78),B78,0),"")</f>
        <v>51.4749741816329</v>
      </c>
      <c r="D79" s="23" t="n">
        <f aca="false">IF(A79&lt;=Mesclun_Bed_Cap,Mesclun_Price,"")</f>
        <v>2700</v>
      </c>
      <c r="E79" s="23" t="n">
        <f aca="false">IF(A79&lt;=Mesclun_Bed_Cap,Mesclun_Fertilizer,"")</f>
        <v>880</v>
      </c>
      <c r="F79" s="23" t="n">
        <f aca="false">IF(A79&lt;=Mesclun_Bed_Cap,MAX(0,MIN((Tomato_Beds*Tomato_Hours*Season*(1+Tomato_Dim_Return)^Tomato_Beds+Carrot_Beds*Carrrot_Hours*Season*(1+Carrot_Dim_Return)^Carrot_Beds)+B79,Farmer_Hours)-MIN((Tomato_Beds*Tomato_Hours*Season*(1+Tomato_Dim_Return)^Tomato_Beds+Carrot_Beds*Carrrot_Hours*Season*(1+Carrot_Dim_Return)^Carrot_Beds)+IF(ISNUMBER(B78),B78,0),Farmer_Hours))*Farmer_Cost+(C79-MAX(0,MIN((Tomato_Beds*Tomato_Hours*Season*(1+Tomato_Dim_Return)^Tomato_Beds+Carrot_Beds*Carrrot_Hours*Season*(1+Carrot_Dim_Return)^Carrot_Beds)+B79,Farmer_Hours)-MIN((Tomato_Beds*Tomato_Hours*Season*(1+Tomato_Dim_Return)^Tomato_Beds+Carrot_Beds*Carrrot_Hours*Season*(1+Carrot_Dim_Return)^Carrot_Beds)+IF(ISNUMBER(B78),B78,0),Farmer_Hours)))*Temp_Worker_Cost,"")</f>
        <v>893.662746208905</v>
      </c>
      <c r="G79" s="23" t="n">
        <f aca="false">IF(A79&lt;=Mesclun_Bed_Cap,D79-E79-F79,"")</f>
        <v>926.337253791095</v>
      </c>
      <c r="H79" s="23" t="n">
        <f aca="false">IF(A79&lt;=Mesclun_Bed_Cap,IF(ISNUMBER(H78),H78,0)+G79,"")</f>
        <v>5869.76634119153</v>
      </c>
      <c r="I79" s="24" t="str">
        <f aca="false">IF(AND(AND(ISNUMBER(G79),G79&lt;0,ISNUMBER(G78),G78&gt;=0),(A79=Mesclun_Beds)),"&lt;- Cross-over &amp; Solver-selected",IF(AND(ISNUMBER(G79),G79&lt;0,ISNUMBER(G78),G78&gt;=0),"&lt;- Cross-over (next bed unprofitable)",IF((A79=Mesclun_Beds),"&lt;- Solver-selected","")))</f>
        <v/>
      </c>
      <c r="J79" s="23" t="n">
        <f aca="false">IF(ISNUMBER(E79),E79+F79,"")</f>
        <v>1773.6627462089</v>
      </c>
      <c r="K79" s="23" t="n">
        <f aca="false">IF(A79&lt;=Mesclun_Bed_Cap,IF(B79&gt;Farmer_Hours+Temp_Worker_Count*Temp_Worker_Hours_Each,"over labor cap",Mesclun_Fertilizer+(MIN(B79,Farmer_Hours)-MIN(N(B78),Farmer_Hours))*Farmer_Cost+(C79-(MIN(B79,Farmer_Hours)-MIN(N(B78),Farmer_Hours)))*Temp_Worker_Cost),"")</f>
        <v>2667.32549241781</v>
      </c>
      <c r="L79" s="23" t="n">
        <f aca="false">IF(A79&lt;=Mesclun_Bed_Cap,IF(B79&gt;Farmer_Hours+Temp_Worker_Count*Temp_Worker_Hours_Each,"over labor cap",(A79*Mesclun_Fertilizer+MIN(B79,Farmer_Hours)*Farmer_Cost+MAX(B79-Farmer_Hours,0)*Temp_Worker_Cost)/A79),"")</f>
        <v>2563.41121960282</v>
      </c>
      <c r="M79" s="23" t="n">
        <f aca="false">IF(ISNUMBER(L79),A79*(Mesclun_Price-L79)-Fixed_Costs,IF(A79&lt;=Mesclun_Bed_Cap,"over labor cap",""))</f>
        <v>-19180.4673176169</v>
      </c>
    </row>
    <row r="80" customFormat="false" ht="15" hidden="false" customHeight="true" outlineLevel="0" collapsed="false">
      <c r="A80" s="22" t="n">
        <f aca="false">ROW()-73</f>
        <v>7</v>
      </c>
      <c r="B80" s="18" t="n">
        <f aca="false">IF(A80&lt;=Mesclun_Bed_Cap,A80*Mesclun_Hours*Season*(1+Mesclun_Dim_Return)^A80,"")</f>
        <v>343.617898145328</v>
      </c>
      <c r="C80" s="18" t="n">
        <f aca="false">IF(A80&lt;=Mesclun_Bed_Cap,B80-IF(ISNUMBER(B79),B79,0),"")</f>
        <v>52.7244393979605</v>
      </c>
      <c r="D80" s="23" t="n">
        <f aca="false">IF(A80&lt;=Mesclun_Bed_Cap,Mesclun_Price,"")</f>
        <v>2700</v>
      </c>
      <c r="E80" s="23" t="n">
        <f aca="false">IF(A80&lt;=Mesclun_Bed_Cap,Mesclun_Fertilizer,"")</f>
        <v>880</v>
      </c>
      <c r="F80" s="23" t="n">
        <f aca="false">IF(A80&lt;=Mesclun_Bed_Cap,MAX(0,MIN((Tomato_Beds*Tomato_Hours*Season*(1+Tomato_Dim_Return)^Tomato_Beds+Carrot_Beds*Carrrot_Hours*Season*(1+Carrot_Dim_Return)^Carrot_Beds)+B80,Farmer_Hours)-MIN((Tomato_Beds*Tomato_Hours*Season*(1+Tomato_Dim_Return)^Tomato_Beds+Carrot_Beds*Carrrot_Hours*Season*(1+Carrot_Dim_Return)^Carrot_Beds)+IF(ISNUMBER(B79),B79,0),Farmer_Hours))*Farmer_Cost+(C80-MAX(0,MIN((Tomato_Beds*Tomato_Hours*Season*(1+Tomato_Dim_Return)^Tomato_Beds+Carrot_Beds*Carrrot_Hours*Season*(1+Carrot_Dim_Return)^Carrot_Beds)+B80,Farmer_Hours)-MIN((Tomato_Beds*Tomato_Hours*Season*(1+Tomato_Dim_Return)^Tomato_Beds+Carrot_Beds*Carrrot_Hours*Season*(1+Carrot_Dim_Return)^Carrot_Beds)+IF(ISNUMBER(B79),B79,0),Farmer_Hours)))*Temp_Worker_Cost,"")</f>
        <v>915.354850659036</v>
      </c>
      <c r="G80" s="23" t="n">
        <f aca="false">IF(A80&lt;=Mesclun_Bed_Cap,D80-E80-F80,"")</f>
        <v>904.645149340964</v>
      </c>
      <c r="H80" s="23" t="n">
        <f aca="false">IF(A80&lt;=Mesclun_Bed_Cap,IF(ISNUMBER(H79),H79,0)+G80,"")</f>
        <v>6774.4114905325</v>
      </c>
      <c r="I80" s="24" t="str">
        <f aca="false">IF(AND(AND(ISNUMBER(G80),G80&lt;0,ISNUMBER(G79),G79&gt;=0),(A80=Mesclun_Beds)),"&lt;- Cross-over &amp; Solver-selected",IF(AND(ISNUMBER(G80),G80&lt;0,ISNUMBER(G79),G79&gt;=0),"&lt;- Cross-over (next bed unprofitable)",IF((A80=Mesclun_Beds),"&lt;- Solver-selected","")))</f>
        <v/>
      </c>
      <c r="J80" s="23" t="n">
        <f aca="false">IF(ISNUMBER(E80),E80+F80,"")</f>
        <v>1795.35485065904</v>
      </c>
      <c r="K80" s="23" t="n">
        <f aca="false">IF(A80&lt;=Mesclun_Bed_Cap,IF(B80&gt;Farmer_Hours+Temp_Worker_Count*Temp_Worker_Hours_Each,"over labor cap",Mesclun_Fertilizer+(MIN(B80,Farmer_Hours)-MIN(N(B79),Farmer_Hours))*Farmer_Cost+(C80-(MIN(B80,Farmer_Hours)-MIN(N(B79),Farmer_Hours)))*Temp_Worker_Cost),"")</f>
        <v>2710.70970131807</v>
      </c>
      <c r="L80" s="23" t="n">
        <f aca="false">IF(A80&lt;=Mesclun_Bed_Cap,IF(B80&gt;Farmer_Hours+Temp_Worker_Count*Temp_Worker_Hours_Each,"over labor cap",(A80*Mesclun_Fertilizer+MIN(B80,Farmer_Hours)*Farmer_Cost+MAX(B80-Farmer_Hours,0)*Temp_Worker_Cost)/A80),"")</f>
        <v>2584.45385984786</v>
      </c>
      <c r="M80" s="23" t="n">
        <f aca="false">IF(ISNUMBER(L80),A80*(Mesclun_Price-L80)-Fixed_Costs,IF(A80&lt;=Mesclun_Bed_Cap,"over labor cap",""))</f>
        <v>-19191.177018935</v>
      </c>
    </row>
    <row r="81" customFormat="false" ht="15" hidden="false" customHeight="true" outlineLevel="0" collapsed="false">
      <c r="A81" s="22" t="n">
        <f aca="false">ROW()-73</f>
        <v>8</v>
      </c>
      <c r="B81" s="18" t="n">
        <f aca="false">IF(A81&lt;=Mesclun_Bed_Cap,A81*Mesclun_Hours*Season*(1+Mesclun_Dim_Return)^A81,"")</f>
        <v>397.614996425308</v>
      </c>
      <c r="C81" s="18" t="n">
        <f aca="false">IF(A81&lt;=Mesclun_Bed_Cap,B81-IF(ISNUMBER(B80),B80,0),"")</f>
        <v>53.9970982799802</v>
      </c>
      <c r="D81" s="23" t="n">
        <f aca="false">IF(A81&lt;=Mesclun_Bed_Cap,Mesclun_Price,"")</f>
        <v>2700</v>
      </c>
      <c r="E81" s="23" t="n">
        <f aca="false">IF(A81&lt;=Mesclun_Bed_Cap,Mesclun_Fertilizer,"")</f>
        <v>880</v>
      </c>
      <c r="F81" s="23" t="n">
        <f aca="false">IF(A81&lt;=Mesclun_Bed_Cap,MAX(0,MIN((Tomato_Beds*Tomato_Hours*Season*(1+Tomato_Dim_Return)^Tomato_Beds+Carrot_Beds*Carrrot_Hours*Season*(1+Carrot_Dim_Return)^Carrot_Beds)+B81,Farmer_Hours)-MIN((Tomato_Beds*Tomato_Hours*Season*(1+Tomato_Dim_Return)^Tomato_Beds+Carrot_Beds*Carrrot_Hours*Season*(1+Carrot_Dim_Return)^Carrot_Beds)+IF(ISNUMBER(B80),B80,0),Farmer_Hours))*Farmer_Cost+(C81-MAX(0,MIN((Tomato_Beds*Tomato_Hours*Season*(1+Tomato_Dim_Return)^Tomato_Beds+Carrot_Beds*Carrrot_Hours*Season*(1+Carrot_Dim_Return)^Carrot_Beds)+B81,Farmer_Hours)-MIN((Tomato_Beds*Tomato_Hours*Season*(1+Tomato_Dim_Return)^Tomato_Beds+Carrot_Beds*Carrrot_Hours*Season*(1+Carrot_Dim_Return)^Carrot_Beds)+IF(ISNUMBER(B80),B80,0),Farmer_Hours)))*Temp_Worker_Cost,"")</f>
        <v>937.449622916322</v>
      </c>
      <c r="G81" s="23" t="n">
        <f aca="false">IF(A81&lt;=Mesclun_Bed_Cap,D81-E81-F81,"")</f>
        <v>882.550377083678</v>
      </c>
      <c r="H81" s="23" t="n">
        <f aca="false">IF(A81&lt;=Mesclun_Bed_Cap,IF(ISNUMBER(H80),H80,0)+G81,"")</f>
        <v>7656.96186761617</v>
      </c>
      <c r="I81" s="24" t="str">
        <f aca="false">IF(AND(AND(ISNUMBER(G81),G81&lt;0,ISNUMBER(G80),G80&gt;=0),(A81=Mesclun_Beds)),"&lt;- Cross-over &amp; Solver-selected",IF(AND(ISNUMBER(G81),G81&lt;0,ISNUMBER(G80),G80&gt;=0),"&lt;- Cross-over (next bed unprofitable)",IF((A81=Mesclun_Beds),"&lt;- Solver-selected","")))</f>
        <v/>
      </c>
      <c r="J81" s="23" t="n">
        <f aca="false">IF(ISNUMBER(E81),E81+F81,"")</f>
        <v>1817.44962291632</v>
      </c>
      <c r="K81" s="23" t="n">
        <f aca="false">IF(A81&lt;=Mesclun_Bed_Cap,IF(B81&gt;Farmer_Hours+Temp_Worker_Count*Temp_Worker_Hours_Each,"over labor cap",Mesclun_Fertilizer+(MIN(B81,Farmer_Hours)-MIN(N(B80),Farmer_Hours))*Farmer_Cost+(C81-(MIN(B81,Farmer_Hours)-MIN(N(B80),Farmer_Hours)))*Temp_Worker_Cost),"")</f>
        <v>2754.89924583264</v>
      </c>
      <c r="L81" s="23" t="n">
        <f aca="false">IF(A81&lt;=Mesclun_Bed_Cap,IF(B81&gt;Farmer_Hours+Temp_Worker_Count*Temp_Worker_Hours_Each,"over labor cap",(A81*Mesclun_Fertilizer+MIN(B81,Farmer_Hours)*Farmer_Cost+MAX(B81-Farmer_Hours,0)*Temp_Worker_Cost)/A81),"")</f>
        <v>2605.75953309596</v>
      </c>
      <c r="M81" s="23" t="n">
        <f aca="false">IF(ISNUMBER(L81),A81*(Mesclun_Price-L81)-Fixed_Costs,IF(A81&lt;=Mesclun_Bed_Cap,"over labor cap",""))</f>
        <v>-19246.0762647677</v>
      </c>
    </row>
    <row r="82" customFormat="false" ht="15" hidden="false" customHeight="true" outlineLevel="0" collapsed="false">
      <c r="A82" s="22" t="n">
        <f aca="false">ROW()-73</f>
        <v>9</v>
      </c>
      <c r="B82" s="18" t="n">
        <f aca="false">IF(A82&lt;=Mesclun_Bed_Cap,A82*Mesclun_Hours*Season*(1+Mesclun_Dim_Return)^A82,"")</f>
        <v>452.908331865703</v>
      </c>
      <c r="C82" s="18" t="n">
        <f aca="false">IF(A82&lt;=Mesclun_Bed_Cap,B82-IF(ISNUMBER(B81),B81,0),"")</f>
        <v>55.2933354403944</v>
      </c>
      <c r="D82" s="23" t="n">
        <f aca="false">IF(A82&lt;=Mesclun_Bed_Cap,Mesclun_Price,"")</f>
        <v>2700</v>
      </c>
      <c r="E82" s="23" t="n">
        <f aca="false">IF(A82&lt;=Mesclun_Bed_Cap,Mesclun_Fertilizer,"")</f>
        <v>880</v>
      </c>
      <c r="F82" s="23" t="n">
        <f aca="false">IF(A82&lt;=Mesclun_Bed_Cap,MAX(0,MIN((Tomato_Beds*Tomato_Hours*Season*(1+Tomato_Dim_Return)^Tomato_Beds+Carrot_Beds*Carrrot_Hours*Season*(1+Carrot_Dim_Return)^Carrot_Beds)+B82,Farmer_Hours)-MIN((Tomato_Beds*Tomato_Hours*Season*(1+Tomato_Dim_Return)^Tomato_Beds+Carrot_Beds*Carrrot_Hours*Season*(1+Carrot_Dim_Return)^Carrot_Beds)+IF(ISNUMBER(B81),B81,0),Farmer_Hours))*Farmer_Cost+(C82-MAX(0,MIN((Tomato_Beds*Tomato_Hours*Season*(1+Tomato_Dim_Return)^Tomato_Beds+Carrot_Beds*Carrrot_Hours*Season*(1+Carrot_Dim_Return)^Carrot_Beds)+B82,Farmer_Hours)-MIN((Tomato_Beds*Tomato_Hours*Season*(1+Tomato_Dim_Return)^Tomato_Beds+Carrot_Beds*Carrrot_Hours*Season*(1+Carrot_Dim_Return)^Carrot_Beds)+IF(ISNUMBER(B81),B81,0),Farmer_Hours)))*Temp_Worker_Cost,"")</f>
        <v>959.953740284625</v>
      </c>
      <c r="G82" s="23" t="n">
        <f aca="false">IF(A82&lt;=Mesclun_Bed_Cap,D82-E82-F82,"")</f>
        <v>860.046259715375</v>
      </c>
      <c r="H82" s="23" t="n">
        <f aca="false">IF(A82&lt;=Mesclun_Bed_Cap,IF(ISNUMBER(H81),H81,0)+G82,"")</f>
        <v>8517.00812733155</v>
      </c>
      <c r="I82" s="24" t="str">
        <f aca="false">IF(AND(AND(ISNUMBER(G82),G82&lt;0,ISNUMBER(G81),G81&gt;=0),(A82=Mesclun_Beds)),"&lt;- Cross-over &amp; Solver-selected",IF(AND(ISNUMBER(G82),G82&lt;0,ISNUMBER(G81),G81&gt;=0),"&lt;- Cross-over (next bed unprofitable)",IF((A82=Mesclun_Beds),"&lt;- Solver-selected","")))</f>
        <v/>
      </c>
      <c r="J82" s="23" t="n">
        <f aca="false">IF(ISNUMBER(E82),E82+F82,"")</f>
        <v>1839.95374028463</v>
      </c>
      <c r="K82" s="23" t="n">
        <f aca="false">IF(A82&lt;=Mesclun_Bed_Cap,IF(B82&gt;Farmer_Hours+Temp_Worker_Count*Temp_Worker_Hours_Each,"over labor cap",Mesclun_Fertilizer+(MIN(B82,Farmer_Hours)-MIN(N(B81),Farmer_Hours))*Farmer_Cost+(C82-(MIN(B82,Farmer_Hours)-MIN(N(B81),Farmer_Hours)))*Temp_Worker_Cost),"")</f>
        <v>2799.90748056925</v>
      </c>
      <c r="L82" s="23" t="n">
        <f aca="false">IF(A82&lt;=Mesclun_Bed_Cap,IF(B82&gt;Farmer_Hours+Temp_Worker_Count*Temp_Worker_Hours_Each,"over labor cap",(A82*Mesclun_Fertilizer+MIN(B82,Farmer_Hours)*Farmer_Cost+MAX(B82-Farmer_Hours,0)*Temp_Worker_Cost)/A82),"")</f>
        <v>2627.33152725966</v>
      </c>
      <c r="M82" s="23" t="n">
        <f aca="false">IF(ISNUMBER(L82),A82*(Mesclun_Price-L82)-Fixed_Costs,IF(A82&lt;=Mesclun_Bed_Cap,"over labor cap",""))</f>
        <v>-19345.9837453369</v>
      </c>
    </row>
    <row r="83" customFormat="false" ht="15" hidden="false" customHeight="true" outlineLevel="0" collapsed="false">
      <c r="A83" s="22" t="n">
        <f aca="false">ROW()-73</f>
        <v>10</v>
      </c>
      <c r="B83" s="18" t="n">
        <f aca="false">IF(A83&lt;=Mesclun_Bed_Cap,A83*Mesclun_Hours*Season*(1+Mesclun_Dim_Return)^A83,"")</f>
        <v>509.521873348916</v>
      </c>
      <c r="C83" s="18" t="n">
        <f aca="false">IF(A83&lt;=Mesclun_Bed_Cap,B83-IF(ISNUMBER(B82),B82,0),"")</f>
        <v>56.6135414832128</v>
      </c>
      <c r="D83" s="23" t="n">
        <f aca="false">IF(A83&lt;=Mesclun_Bed_Cap,Mesclun_Price,"")</f>
        <v>2700</v>
      </c>
      <c r="E83" s="23" t="n">
        <f aca="false">IF(A83&lt;=Mesclun_Bed_Cap,Mesclun_Fertilizer,"")</f>
        <v>880</v>
      </c>
      <c r="F83" s="23" t="n">
        <f aca="false">IF(A83&lt;=Mesclun_Bed_Cap,MAX(0,MIN((Tomato_Beds*Tomato_Hours*Season*(1+Tomato_Dim_Return)^Tomato_Beds+Carrot_Beds*Carrrot_Hours*Season*(1+Carrot_Dim_Return)^Carrot_Beds)+B83,Farmer_Hours)-MIN((Tomato_Beds*Tomato_Hours*Season*(1+Tomato_Dim_Return)^Tomato_Beds+Carrot_Beds*Carrrot_Hours*Season*(1+Carrot_Dim_Return)^Carrot_Beds)+IF(ISNUMBER(B82),B82,0),Farmer_Hours))*Farmer_Cost+(C83-MAX(0,MIN((Tomato_Beds*Tomato_Hours*Season*(1+Tomato_Dim_Return)^Tomato_Beds+Carrot_Beds*Carrrot_Hours*Season*(1+Carrot_Dim_Return)^Carrot_Beds)+B83,Farmer_Hours)-MIN((Tomato_Beds*Tomato_Hours*Season*(1+Tomato_Dim_Return)^Tomato_Beds+Carrot_Beds*Carrrot_Hours*Season*(1+Carrot_Dim_Return)^Carrot_Beds)+IF(ISNUMBER(B82),B82,0),Farmer_Hours)))*Temp_Worker_Cost,"")</f>
        <v>982.873984083555</v>
      </c>
      <c r="G83" s="23" t="n">
        <f aca="false">IF(A83&lt;=Mesclun_Bed_Cap,D83-E83-F83,"")</f>
        <v>837.126015916445</v>
      </c>
      <c r="H83" s="23" t="n">
        <f aca="false">IF(A83&lt;=Mesclun_Bed_Cap,IF(ISNUMBER(H82),H82,0)+G83,"")</f>
        <v>9354.134143248</v>
      </c>
      <c r="I83" s="24" t="str">
        <f aca="false">IF(AND(AND(ISNUMBER(G83),G83&lt;0,ISNUMBER(G82),G82&gt;=0),(A83=Mesclun_Beds)),"&lt;- Cross-over &amp; Solver-selected",IF(AND(ISNUMBER(G83),G83&lt;0,ISNUMBER(G82),G82&gt;=0),"&lt;- Cross-over (next bed unprofitable)",IF((A83=Mesclun_Beds),"&lt;- Solver-selected","")))</f>
        <v/>
      </c>
      <c r="J83" s="23" t="n">
        <f aca="false">IF(ISNUMBER(E83),E83+F83,"")</f>
        <v>1862.87398408356</v>
      </c>
      <c r="K83" s="23" t="n">
        <f aca="false">IF(A83&lt;=Mesclun_Bed_Cap,IF(B83&gt;Farmer_Hours+Temp_Worker_Count*Temp_Worker_Hours_Each,"over labor cap",Mesclun_Fertilizer+(MIN(B83,Farmer_Hours)-MIN(N(B82),Farmer_Hours))*Farmer_Cost+(C83-(MIN(B83,Farmer_Hours)-MIN(N(B82),Farmer_Hours)))*Temp_Worker_Cost),"")</f>
        <v>2845.74796816711</v>
      </c>
      <c r="L83" s="23" t="n">
        <f aca="false">IF(A83&lt;=Mesclun_Bed_Cap,IF(B83&gt;Farmer_Hours+Temp_Worker_Count*Temp_Worker_Hours_Each,"over labor cap",(A83*Mesclun_Fertilizer+MIN(B83,Farmer_Hours)*Farmer_Cost+MAX(B83-Farmer_Hours,0)*Temp_Worker_Cost)/A83),"")</f>
        <v>2649.1731713504</v>
      </c>
      <c r="M83" s="23" t="n">
        <f aca="false">IF(ISNUMBER(L83),A83*(Mesclun_Price-L83)-Fixed_Costs,IF(A83&lt;=Mesclun_Bed_Cap,"over labor cap",""))</f>
        <v>-19491.731713504</v>
      </c>
    </row>
    <row r="84" customFormat="false" ht="15" hidden="false" customHeight="true" outlineLevel="0" collapsed="false">
      <c r="A84" s="22" t="n">
        <f aca="false">ROW()-73</f>
        <v>11</v>
      </c>
      <c r="B84" s="18" t="n">
        <f aca="false">IF(A84&lt;=Mesclun_Bed_Cap,A84*Mesclun_Hours*Season*(1+Mesclun_Dim_Return)^A84,"")</f>
        <v>567.479986442355</v>
      </c>
      <c r="C84" s="18" t="n">
        <f aca="false">IF(A84&lt;=Mesclun_Bed_Cap,B84-IF(ISNUMBER(B83),B83,0),"")</f>
        <v>57.9581130934391</v>
      </c>
      <c r="D84" s="23" t="n">
        <f aca="false">IF(A84&lt;=Mesclun_Bed_Cap,Mesclun_Price,"")</f>
        <v>2700</v>
      </c>
      <c r="E84" s="23" t="n">
        <f aca="false">IF(A84&lt;=Mesclun_Bed_Cap,Mesclun_Fertilizer,"")</f>
        <v>880</v>
      </c>
      <c r="F84" s="23" t="n">
        <f aca="false">IF(A84&lt;=Mesclun_Bed_Cap,MAX(0,MIN((Tomato_Beds*Tomato_Hours*Season*(1+Tomato_Dim_Return)^Tomato_Beds+Carrot_Beds*Carrrot_Hours*Season*(1+Carrot_Dim_Return)^Carrot_Beds)+B84,Farmer_Hours)-MIN((Tomato_Beds*Tomato_Hours*Season*(1+Tomato_Dim_Return)^Tomato_Beds+Carrot_Beds*Carrrot_Hours*Season*(1+Carrot_Dim_Return)^Carrot_Beds)+IF(ISNUMBER(B83),B83,0),Farmer_Hours))*Farmer_Cost+(C84-MAX(0,MIN((Tomato_Beds*Tomato_Hours*Season*(1+Tomato_Dim_Return)^Tomato_Beds+Carrot_Beds*Carrrot_Hours*Season*(1+Carrot_Dim_Return)^Carrot_Beds)+B84,Farmer_Hours)-MIN((Tomato_Beds*Tomato_Hours*Season*(1+Tomato_Dim_Return)^Tomato_Beds+Carrot_Beds*Carrrot_Hours*Season*(1+Carrot_Dim_Return)^Carrot_Beds)+IF(ISNUMBER(B83),B83,0),Farmer_Hours)))*Temp_Worker_Cost,"")</f>
        <v>1006.21724120554</v>
      </c>
      <c r="G84" s="23" t="n">
        <f aca="false">IF(A84&lt;=Mesclun_Bed_Cap,D84-E84-F84,"")</f>
        <v>813.78275879446</v>
      </c>
      <c r="H84" s="23" t="n">
        <f aca="false">IF(A84&lt;=Mesclun_Bed_Cap,IF(ISNUMBER(H83),H83,0)+G84,"")</f>
        <v>10167.9169020425</v>
      </c>
      <c r="I84" s="24" t="str">
        <f aca="false">IF(AND(AND(ISNUMBER(G84),G84&lt;0,ISNUMBER(G83),G83&gt;=0),(A84=Mesclun_Beds)),"&lt;- Cross-over &amp; Solver-selected",IF(AND(ISNUMBER(G84),G84&lt;0,ISNUMBER(G83),G83&gt;=0),"&lt;- Cross-over (next bed unprofitable)",IF((A84=Mesclun_Beds),"&lt;- Solver-selected","")))</f>
        <v/>
      </c>
      <c r="J84" s="23" t="n">
        <f aca="false">IF(ISNUMBER(E84),E84+F84,"")</f>
        <v>1886.21724120554</v>
      </c>
      <c r="K84" s="23" t="n">
        <f aca="false">IF(A84&lt;=Mesclun_Bed_Cap,IF(B84&gt;Farmer_Hours+Temp_Worker_Count*Temp_Worker_Hours_Each,"over labor cap",Mesclun_Fertilizer+(MIN(B84,Farmer_Hours)-MIN(N(B83),Farmer_Hours))*Farmer_Cost+(C84-(MIN(B84,Farmer_Hours)-MIN(N(B83),Farmer_Hours)))*Temp_Worker_Cost),"")</f>
        <v>2892.43448241108</v>
      </c>
      <c r="L84" s="23" t="n">
        <f aca="false">IF(A84&lt;=Mesclun_Bed_Cap,IF(B84&gt;Farmer_Hours+Temp_Worker_Count*Temp_Worker_Hours_Each,"over labor cap",(A84*Mesclun_Fertilizer+MIN(B84,Farmer_Hours)*Farmer_Cost+MAX(B84-Farmer_Hours,0)*Temp_Worker_Cost)/A84),"")</f>
        <v>2671.28783599228</v>
      </c>
      <c r="M84" s="23" t="n">
        <f aca="false">IF(ISNUMBER(L84),A84*(Mesclun_Price-L84)-Fixed_Costs,IF(A84&lt;=Mesclun_Bed_Cap,"over labor cap",""))</f>
        <v>-19684.1661959151</v>
      </c>
    </row>
    <row r="85" customFormat="false" ht="15" hidden="false" customHeight="true" outlineLevel="0" collapsed="false">
      <c r="A85" s="22" t="n">
        <f aca="false">ROW()-73</f>
        <v>12</v>
      </c>
      <c r="B85" s="18" t="n">
        <f aca="false">IF(A85&lt;=Mesclun_Bed_Cap,A85*Mesclun_Hours*Season*(1+Mesclun_Dim_Return)^A85,"")</f>
        <v>626.807439570419</v>
      </c>
      <c r="C85" s="18" t="n">
        <f aca="false">IF(A85&lt;=Mesclun_Bed_Cap,B85-IF(ISNUMBER(B84),B84,0),"")</f>
        <v>59.3274531280644</v>
      </c>
      <c r="D85" s="23" t="n">
        <f aca="false">IF(A85&lt;=Mesclun_Bed_Cap,Mesclun_Price,"")</f>
        <v>2700</v>
      </c>
      <c r="E85" s="23" t="n">
        <f aca="false">IF(A85&lt;=Mesclun_Bed_Cap,Mesclun_Fertilizer,"")</f>
        <v>880</v>
      </c>
      <c r="F85" s="23" t="n">
        <f aca="false">IF(A85&lt;=Mesclun_Bed_Cap,MAX(0,MIN((Tomato_Beds*Tomato_Hours*Season*(1+Tomato_Dim_Return)^Tomato_Beds+Carrot_Beds*Carrrot_Hours*Season*(1+Carrot_Dim_Return)^Carrot_Beds)+B85,Farmer_Hours)-MIN((Tomato_Beds*Tomato_Hours*Season*(1+Tomato_Dim_Return)^Tomato_Beds+Carrot_Beds*Carrrot_Hours*Season*(1+Carrot_Dim_Return)^Carrot_Beds)+IF(ISNUMBER(B84),B84,0),Farmer_Hours))*Farmer_Cost+(C85-MAX(0,MIN((Tomato_Beds*Tomato_Hours*Season*(1+Tomato_Dim_Return)^Tomato_Beds+Carrot_Beds*Carrrot_Hours*Season*(1+Carrot_Dim_Return)^Carrot_Beds)+B85,Farmer_Hours)-MIN((Tomato_Beds*Tomato_Hours*Season*(1+Tomato_Dim_Return)^Tomato_Beds+Carrot_Beds*Carrrot_Hours*Season*(1+Carrot_Dim_Return)^Carrot_Beds)+IF(ISNUMBER(B84),B84,0),Farmer_Hours)))*Temp_Worker_Cost,"")</f>
        <v>1029.99050569556</v>
      </c>
      <c r="G85" s="23" t="n">
        <f aca="false">IF(A85&lt;=Mesclun_Bed_Cap,D85-E85-F85,"")</f>
        <v>790.009494304439</v>
      </c>
      <c r="H85" s="23" t="n">
        <f aca="false">IF(A85&lt;=Mesclun_Bed_Cap,IF(ISNUMBER(H84),H84,0)+G85,"")</f>
        <v>10957.9263963469</v>
      </c>
      <c r="I85" s="24" t="str">
        <f aca="false">IF(AND(AND(ISNUMBER(G85),G85&lt;0,ISNUMBER(G84),G84&gt;=0),(A85=Mesclun_Beds)),"&lt;- Cross-over &amp; Solver-selected",IF(AND(ISNUMBER(G85),G85&lt;0,ISNUMBER(G84),G84&gt;=0),"&lt;- Cross-over (next bed unprofitable)",IF((A85=Mesclun_Beds),"&lt;- Solver-selected","")))</f>
        <v/>
      </c>
      <c r="J85" s="23" t="n">
        <f aca="false">IF(ISNUMBER(E85),E85+F85,"")</f>
        <v>1909.99050569556</v>
      </c>
      <c r="K85" s="23" t="n">
        <f aca="false">IF(A85&lt;=Mesclun_Bed_Cap,IF(B85&gt;Farmer_Hours+Temp_Worker_Count*Temp_Worker_Hours_Each,"over labor cap",Mesclun_Fertilizer+(MIN(B85,Farmer_Hours)-MIN(N(B84),Farmer_Hours))*Farmer_Cost+(C85-(MIN(B85,Farmer_Hours)-MIN(N(B84),Farmer_Hours)))*Temp_Worker_Cost),"")</f>
        <v>2939.98101139112</v>
      </c>
      <c r="L85" s="23" t="n">
        <f aca="false">IF(A85&lt;=Mesclun_Bed_Cap,IF(B85&gt;Farmer_Hours+Temp_Worker_Count*Temp_Worker_Hours_Each,"over labor cap",(A85*Mesclun_Fertilizer+MIN(B85,Farmer_Hours)*Farmer_Cost+MAX(B85-Farmer_Hours,0)*Temp_Worker_Cost)/A85),"")</f>
        <v>2693.67893394218</v>
      </c>
      <c r="M85" s="23" t="n">
        <f aca="false">IF(ISNUMBER(L85),A85*(Mesclun_Price-L85)-Fixed_Costs,IF(A85&lt;=Mesclun_Bed_Cap,"over labor cap",""))</f>
        <v>-19924.1472073062</v>
      </c>
    </row>
    <row r="86" customFormat="false" ht="15" hidden="false" customHeight="true" outlineLevel="0" collapsed="false">
      <c r="A86" s="22" t="n">
        <f aca="false">ROW()-73</f>
        <v>13</v>
      </c>
      <c r="B86" s="18" t="n">
        <f aca="false">IF(A86&lt;=Mesclun_Bed_Cap,A86*Mesclun_Hours*Season*(1+Mesclun_Dim_Return)^A86,"")</f>
        <v>687.529410278803</v>
      </c>
      <c r="C86" s="18" t="n">
        <f aca="false">IF(A86&lt;=Mesclun_Bed_Cap,B86-IF(ISNUMBER(B85),B85,0),"")</f>
        <v>60.7219707083843</v>
      </c>
      <c r="D86" s="23" t="n">
        <f aca="false">IF(A86&lt;=Mesclun_Bed_Cap,Mesclun_Price,"")</f>
        <v>2700</v>
      </c>
      <c r="E86" s="23" t="n">
        <f aca="false">IF(A86&lt;=Mesclun_Bed_Cap,Mesclun_Fertilizer,"")</f>
        <v>880</v>
      </c>
      <c r="F86" s="23" t="n">
        <f aca="false">IF(A86&lt;=Mesclun_Bed_Cap,MAX(0,MIN((Tomato_Beds*Tomato_Hours*Season*(1+Tomato_Dim_Return)^Tomato_Beds+Carrot_Beds*Carrrot_Hours*Season*(1+Carrot_Dim_Return)^Carrot_Beds)+B86,Farmer_Hours)-MIN((Tomato_Beds*Tomato_Hours*Season*(1+Tomato_Dim_Return)^Tomato_Beds+Carrot_Beds*Carrrot_Hours*Season*(1+Carrot_Dim_Return)^Carrot_Beds)+IF(ISNUMBER(B85),B85,0),Farmer_Hours))*Farmer_Cost+(C86-MAX(0,MIN((Tomato_Beds*Tomato_Hours*Season*(1+Tomato_Dim_Return)^Tomato_Beds+Carrot_Beds*Carrrot_Hours*Season*(1+Carrot_Dim_Return)^Carrot_Beds)+B86,Farmer_Hours)-MIN((Tomato_Beds*Tomato_Hours*Season*(1+Tomato_Dim_Return)^Tomato_Beds+Carrot_Beds*Carrrot_Hours*Season*(1+Carrot_Dim_Return)^Carrot_Beds)+IF(ISNUMBER(B85),B85,0),Farmer_Hours)))*Temp_Worker_Cost,"")</f>
        <v>1054.20088035389</v>
      </c>
      <c r="G86" s="23" t="n">
        <f aca="false">IF(A86&lt;=Mesclun_Bed_Cap,D86-E86-F86,"")</f>
        <v>765.799119646105</v>
      </c>
      <c r="H86" s="23" t="n">
        <f aca="false">IF(A86&lt;=Mesclun_Bed_Cap,IF(ISNUMBER(H85),H85,0)+G86,"")</f>
        <v>11723.725515993</v>
      </c>
      <c r="I86" s="24" t="str">
        <f aca="false">IF(AND(AND(ISNUMBER(G86),G86&lt;0,ISNUMBER(G85),G85&gt;=0),(A86=Mesclun_Beds)),"&lt;- Cross-over &amp; Solver-selected",IF(AND(ISNUMBER(G86),G86&lt;0,ISNUMBER(G85),G85&gt;=0),"&lt;- Cross-over (next bed unprofitable)",IF((A86=Mesclun_Beds),"&lt;- Solver-selected","")))</f>
        <v/>
      </c>
      <c r="J86" s="23" t="n">
        <f aca="false">IF(ISNUMBER(E86),E86+F86,"")</f>
        <v>1934.20088035389</v>
      </c>
      <c r="K86" s="23" t="n">
        <f aca="false">IF(A86&lt;=Mesclun_Bed_Cap,IF(B86&gt;Farmer_Hours+Temp_Worker_Count*Temp_Worker_Hours_Each,"over labor cap",Mesclun_Fertilizer+(MIN(B86,Farmer_Hours)-MIN(N(B85),Farmer_Hours))*Farmer_Cost+(C86-(MIN(B86,Farmer_Hours)-MIN(N(B85),Farmer_Hours)))*Temp_Worker_Cost),"")</f>
        <v>2988.40176070779</v>
      </c>
      <c r="L86" s="23" t="n">
        <f aca="false">IF(A86&lt;=Mesclun_Bed_Cap,IF(B86&gt;Farmer_Hours+Temp_Worker_Count*Temp_Worker_Hours_Each,"over labor cap",(A86*Mesclun_Fertilizer+MIN(B86,Farmer_Hours)*Farmer_Cost+MAX(B86-Farmer_Hours,0)*Temp_Worker_Cost)/A86),"")</f>
        <v>2716.34992061646</v>
      </c>
      <c r="M86" s="23" t="n">
        <f aca="false">IF(ISNUMBER(L86),A86*(Mesclun_Price-L86)-Fixed_Costs,IF(A86&lt;=Mesclun_Bed_Cap,"over labor cap",""))</f>
        <v>-20212.548968014</v>
      </c>
    </row>
    <row r="87" customFormat="false" ht="15" hidden="false" customHeight="true" outlineLevel="0" collapsed="false">
      <c r="A87" s="22" t="n">
        <f aca="false">ROW()-73</f>
        <v>14</v>
      </c>
      <c r="B87" s="18" t="n">
        <f aca="false">IF(A87&lt;=Mesclun_Bed_Cap,A87*Mesclun_Hours*Season*(1+Mesclun_Dim_Return)^A87,"")</f>
        <v>749.671491592464</v>
      </c>
      <c r="C87" s="18" t="n">
        <f aca="false">IF(A87&lt;=Mesclun_Bed_Cap,B87-IF(ISNUMBER(B86),B86,0),"")</f>
        <v>62.142081313661</v>
      </c>
      <c r="D87" s="23" t="n">
        <f aca="false">IF(A87&lt;=Mesclun_Bed_Cap,Mesclun_Price,"")</f>
        <v>2700</v>
      </c>
      <c r="E87" s="23" t="n">
        <f aca="false">IF(A87&lt;=Mesclun_Bed_Cap,Mesclun_Fertilizer,"")</f>
        <v>880</v>
      </c>
      <c r="F87" s="23" t="n">
        <f aca="false">IF(A87&lt;=Mesclun_Bed_Cap,MAX(0,MIN((Tomato_Beds*Tomato_Hours*Season*(1+Tomato_Dim_Return)^Tomato_Beds+Carrot_Beds*Carrrot_Hours*Season*(1+Carrot_Dim_Return)^Carrot_Beds)+B87,Farmer_Hours)-MIN((Tomato_Beds*Tomato_Hours*Season*(1+Tomato_Dim_Return)^Tomato_Beds+Carrot_Beds*Carrrot_Hours*Season*(1+Carrot_Dim_Return)^Carrot_Beds)+IF(ISNUMBER(B86),B86,0),Farmer_Hours))*Farmer_Cost+(C87-MAX(0,MIN((Tomato_Beds*Tomato_Hours*Season*(1+Tomato_Dim_Return)^Tomato_Beds+Carrot_Beds*Carrrot_Hours*Season*(1+Carrot_Dim_Return)^Carrot_Beds)+B87,Farmer_Hours)-MIN((Tomato_Beds*Tomato_Hours*Season*(1+Tomato_Dim_Return)^Tomato_Beds+Carrot_Beds*Carrrot_Hours*Season*(1+Carrot_Dim_Return)^Carrot_Beds)+IF(ISNUMBER(B86),B86,0),Farmer_Hours)))*Temp_Worker_Cost,"")</f>
        <v>1078.85557836217</v>
      </c>
      <c r="G87" s="23" t="n">
        <f aca="false">IF(A87&lt;=Mesclun_Bed_Cap,D87-E87-F87,"")</f>
        <v>741.144421637829</v>
      </c>
      <c r="H87" s="23" t="n">
        <f aca="false">IF(A87&lt;=Mesclun_Bed_Cap,IF(ISNUMBER(H86),H86,0)+G87,"")</f>
        <v>12464.8699376308</v>
      </c>
      <c r="I87" s="24" t="str">
        <f aca="false">IF(AND(AND(ISNUMBER(G87),G87&lt;0,ISNUMBER(G86),G86&gt;=0),(A87=Mesclun_Beds)),"&lt;- Cross-over &amp; Solver-selected",IF(AND(ISNUMBER(G87),G87&lt;0,ISNUMBER(G86),G86&gt;=0),"&lt;- Cross-over (next bed unprofitable)",IF((A87=Mesclun_Beds),"&lt;- Solver-selected","")))</f>
        <v/>
      </c>
      <c r="J87" s="23" t="n">
        <f aca="false">IF(ISNUMBER(E87),E87+F87,"")</f>
        <v>1958.85557836217</v>
      </c>
      <c r="K87" s="23" t="n">
        <f aca="false">IF(A87&lt;=Mesclun_Bed_Cap,IF(B87&gt;Farmer_Hours+Temp_Worker_Count*Temp_Worker_Hours_Each,"over labor cap",Mesclun_Fertilizer+(MIN(B87,Farmer_Hours)-MIN(N(B86),Farmer_Hours))*Farmer_Cost+(C87-(MIN(B87,Farmer_Hours)-MIN(N(B86),Farmer_Hours)))*Temp_Worker_Cost),"")</f>
        <v>2522.58109435517</v>
      </c>
      <c r="L87" s="23" t="n">
        <f aca="false">IF(A87&lt;=Mesclun_Bed_Cap,IF(B87&gt;Farmer_Hours+Temp_Worker_Count*Temp_Worker_Hours_Each,"over labor cap",(A87*Mesclun_Fertilizer+MIN(B87,Farmer_Hours)*Farmer_Cost+MAX(B87-Farmer_Hours,0)*Temp_Worker_Cost)/A87),"")</f>
        <v>2702.50929016923</v>
      </c>
      <c r="M87" s="23" t="n">
        <f aca="false">IF(ISNUMBER(L87),A87*(Mesclun_Price-L87)-Fixed_Costs,IF(A87&lt;=Mesclun_Bed_Cap,"over labor cap",""))</f>
        <v>-20035.1300623692</v>
      </c>
    </row>
    <row r="88" customFormat="false" ht="15" hidden="false" customHeight="true" outlineLevel="0" collapsed="false">
      <c r="A88" s="22" t="n">
        <f aca="false">ROW()-73</f>
        <v>15</v>
      </c>
      <c r="B88" s="18" t="n">
        <f aca="false">IF(A88&lt;=Mesclun_Bed_Cap,A88*Mesclun_Hours*Season*(1+Mesclun_Dim_Return)^A88,"")</f>
        <v>813.259698468611</v>
      </c>
      <c r="C88" s="18" t="n">
        <f aca="false">IF(A88&lt;=Mesclun_Bed_Cap,B88-IF(ISNUMBER(B87),B87,0),"")</f>
        <v>63.5882068761464</v>
      </c>
      <c r="D88" s="23" t="n">
        <f aca="false">IF(A88&lt;=Mesclun_Bed_Cap,Mesclun_Price,"")</f>
        <v>2700</v>
      </c>
      <c r="E88" s="23" t="n">
        <f aca="false">IF(A88&lt;=Mesclun_Bed_Cap,Mesclun_Fertilizer,"")</f>
        <v>880</v>
      </c>
      <c r="F88" s="23" t="n">
        <f aca="false">IF(A88&lt;=Mesclun_Bed_Cap,MAX(0,MIN((Tomato_Beds*Tomato_Hours*Season*(1+Tomato_Dim_Return)^Tomato_Beds+Carrot_Beds*Carrrot_Hours*Season*(1+Carrot_Dim_Return)^Carrot_Beds)+B88,Farmer_Hours)-MIN((Tomato_Beds*Tomato_Hours*Season*(1+Tomato_Dim_Return)^Tomato_Beds+Carrot_Beds*Carrrot_Hours*Season*(1+Carrot_Dim_Return)^Carrot_Beds)+IF(ISNUMBER(B87),B87,0),Farmer_Hours))*Farmer_Cost+(C88-MAX(0,MIN((Tomato_Beds*Tomato_Hours*Season*(1+Tomato_Dim_Return)^Tomato_Beds+Carrot_Beds*Carrrot_Hours*Season*(1+Carrot_Dim_Return)^Carrot_Beds)+B88,Farmer_Hours)-MIN((Tomato_Beds*Tomato_Hours*Season*(1+Tomato_Dim_Return)^Tomato_Beds+Carrot_Beds*Carrrot_Hours*Season*(1+Carrot_Dim_Return)^Carrot_Beds)+IF(ISNUMBER(B87),B87,0),Farmer_Hours)))*Temp_Worker_Cost,"")</f>
        <v>1103.9619249331</v>
      </c>
      <c r="G88" s="23" t="n">
        <f aca="false">IF(A88&lt;=Mesclun_Bed_Cap,D88-E88-F88,"")</f>
        <v>716.038075066903</v>
      </c>
      <c r="H88" s="23" t="n">
        <f aca="false">IF(A88&lt;=Mesclun_Bed_Cap,IF(ISNUMBER(H87),H87,0)+G88,"")</f>
        <v>13180.9080126977</v>
      </c>
      <c r="I88" s="24" t="str">
        <f aca="false">IF(AND(AND(ISNUMBER(G88),G88&lt;0,ISNUMBER(G87),G87&gt;=0),(A88=Mesclun_Beds)),"&lt;- Cross-over &amp; Solver-selected",IF(AND(ISNUMBER(G88),G88&lt;0,ISNUMBER(G87),G87&gt;=0),"&lt;- Cross-over (next bed unprofitable)",IF((A88=Mesclun_Beds),"&lt;- Solver-selected","")))</f>
        <v/>
      </c>
      <c r="J88" s="23" t="n">
        <f aca="false">IF(ISNUMBER(E88),E88+F88,"")</f>
        <v>1983.9619249331</v>
      </c>
      <c r="K88" s="23" t="n">
        <f aca="false">IF(A88&lt;=Mesclun_Bed_Cap,IF(B88&gt;Farmer_Hours+Temp_Worker_Count*Temp_Worker_Hours_Each,"over labor cap",Mesclun_Fertilizer+(MIN(B88,Farmer_Hours)-MIN(N(B87),Farmer_Hours))*Farmer_Cost+(C88-(MIN(B88,Farmer_Hours)-MIN(N(B87),Farmer_Hours)))*Temp_Worker_Cost),"")</f>
        <v>1983.9619249331</v>
      </c>
      <c r="L88" s="23" t="n">
        <f aca="false">IF(A88&lt;=Mesclun_Bed_Cap,IF(B88&gt;Farmer_Hours+Temp_Worker_Count*Temp_Worker_Hours_Each,"over labor cap",(A88*Mesclun_Fertilizer+MIN(B88,Farmer_Hours)*Farmer_Cost+MAX(B88-Farmer_Hours,0)*Temp_Worker_Cost)/A88),"")</f>
        <v>2654.60613248682</v>
      </c>
      <c r="M88" s="23" t="n">
        <f aca="false">IF(ISNUMBER(L88),A88*(Mesclun_Price-L88)-Fixed_Costs,IF(A88&lt;=Mesclun_Bed_Cap,"over labor cap",""))</f>
        <v>-19319.0919873023</v>
      </c>
    </row>
    <row r="89" customFormat="false" ht="15" hidden="false" customHeight="true" outlineLevel="0" collapsed="false">
      <c r="A89" s="22" t="n">
        <f aca="false">ROW()-73</f>
        <v>16</v>
      </c>
      <c r="B89" s="18" t="n">
        <f aca="false">IF(A89&lt;=Mesclun_Bed_Cap,A89*Mesclun_Hours*Season*(1+Mesclun_Dim_Return)^A89,"")</f>
        <v>878.3204743461</v>
      </c>
      <c r="C89" s="18" t="n">
        <f aca="false">IF(A89&lt;=Mesclun_Bed_Cap,B89-IF(ISNUMBER(B88),B88,0),"")</f>
        <v>65.0607758774889</v>
      </c>
      <c r="D89" s="23" t="n">
        <f aca="false">IF(A89&lt;=Mesclun_Bed_Cap,Mesclun_Price,"")</f>
        <v>2700</v>
      </c>
      <c r="E89" s="23" t="n">
        <f aca="false">IF(A89&lt;=Mesclun_Bed_Cap,Mesclun_Fertilizer,"")</f>
        <v>880</v>
      </c>
      <c r="F89" s="23" t="n">
        <f aca="false">IF(A89&lt;=Mesclun_Bed_Cap,MAX(0,MIN((Tomato_Beds*Tomato_Hours*Season*(1+Tomato_Dim_Return)^Tomato_Beds+Carrot_Beds*Carrrot_Hours*Season*(1+Carrot_Dim_Return)^Carrot_Beds)+B89,Farmer_Hours)-MIN((Tomato_Beds*Tomato_Hours*Season*(1+Tomato_Dim_Return)^Tomato_Beds+Carrot_Beds*Carrrot_Hours*Season*(1+Carrot_Dim_Return)^Carrot_Beds)+IF(ISNUMBER(B88),B88,0),Farmer_Hours))*Farmer_Cost+(C89-MAX(0,MIN((Tomato_Beds*Tomato_Hours*Season*(1+Tomato_Dim_Return)^Tomato_Beds+Carrot_Beds*Carrrot_Hours*Season*(1+Carrot_Dim_Return)^Carrot_Beds)+B89,Farmer_Hours)-MIN((Tomato_Beds*Tomato_Hours*Season*(1+Tomato_Dim_Return)^Tomato_Beds+Carrot_Beds*Carrrot_Hours*Season*(1+Carrot_Dim_Return)^Carrot_Beds)+IF(ISNUMBER(B88),B88,0),Farmer_Hours)))*Temp_Worker_Cost,"")</f>
        <v>1129.52735898418</v>
      </c>
      <c r="G89" s="23" t="n">
        <f aca="false">IF(A89&lt;=Mesclun_Bed_Cap,D89-E89-F89,"")</f>
        <v>690.472641015817</v>
      </c>
      <c r="H89" s="23" t="n">
        <f aca="false">IF(A89&lt;=Mesclun_Bed_Cap,IF(ISNUMBER(H88),H88,0)+G89,"")</f>
        <v>13871.3806537135</v>
      </c>
      <c r="I89" s="24" t="str">
        <f aca="false">IF(AND(AND(ISNUMBER(G89),G89&lt;0,ISNUMBER(G88),G88&gt;=0),(A89=Mesclun_Beds)),"&lt;- Cross-over &amp; Solver-selected",IF(AND(ISNUMBER(G89),G89&lt;0,ISNUMBER(G88),G88&gt;=0),"&lt;- Cross-over (next bed unprofitable)",IF((A89=Mesclun_Beds),"&lt;- Solver-selected","")))</f>
        <v/>
      </c>
      <c r="J89" s="23" t="n">
        <f aca="false">IF(ISNUMBER(E89),E89+F89,"")</f>
        <v>2009.52735898418</v>
      </c>
      <c r="K89" s="23" t="n">
        <f aca="false">IF(A89&lt;=Mesclun_Bed_Cap,IF(B89&gt;Farmer_Hours+Temp_Worker_Count*Temp_Worker_Hours_Each,"over labor cap",Mesclun_Fertilizer+(MIN(B89,Farmer_Hours)-MIN(N(B88),Farmer_Hours))*Farmer_Cost+(C89-(MIN(B89,Farmer_Hours)-MIN(N(B88),Farmer_Hours)))*Temp_Worker_Cost),"")</f>
        <v>2009.52735898418</v>
      </c>
      <c r="L89" s="23" t="n">
        <f aca="false">IF(A89&lt;=Mesclun_Bed_Cap,IF(B89&gt;Farmer_Hours+Temp_Worker_Count*Temp_Worker_Hours_Each,"over labor cap",(A89*Mesclun_Fertilizer+MIN(B89,Farmer_Hours)*Farmer_Cost+MAX(B89-Farmer_Hours,0)*Temp_Worker_Cost)/A89),"")</f>
        <v>2614.2887091429</v>
      </c>
      <c r="M89" s="23" t="n">
        <f aca="false">IF(ISNUMBER(L89),A89*(Mesclun_Price-L89)-Fixed_Costs,IF(A89&lt;=Mesclun_Bed_Cap,"over labor cap",""))</f>
        <v>-18628.6193462865</v>
      </c>
    </row>
    <row r="90" customFormat="false" ht="15" hidden="false" customHeight="true" outlineLevel="0" collapsed="false">
      <c r="A90" s="22" t="n">
        <f aca="false">ROW()-73</f>
        <v>17</v>
      </c>
      <c r="B90" s="18" t="n">
        <f aca="false">IF(A90&lt;=Mesclun_Bed_Cap,A90*Mesclun_Hours*Season*(1+Mesclun_Dim_Return)^A90,"")</f>
        <v>944.88069779264</v>
      </c>
      <c r="C90" s="18" t="n">
        <f aca="false">IF(A90&lt;=Mesclun_Bed_Cap,B90-IF(ISNUMBER(B89),B89,0),"")</f>
        <v>66.5602234465403</v>
      </c>
      <c r="D90" s="23" t="n">
        <f aca="false">IF(A90&lt;=Mesclun_Bed_Cap,Mesclun_Price,"")</f>
        <v>2700</v>
      </c>
      <c r="E90" s="23" t="n">
        <f aca="false">IF(A90&lt;=Mesclun_Bed_Cap,Mesclun_Fertilizer,"")</f>
        <v>880</v>
      </c>
      <c r="F90" s="23" t="n">
        <f aca="false">IF(A90&lt;=Mesclun_Bed_Cap,MAX(0,MIN((Tomato_Beds*Tomato_Hours*Season*(1+Tomato_Dim_Return)^Tomato_Beds+Carrot_Beds*Carrrot_Hours*Season*(1+Carrot_Dim_Return)^Carrot_Beds)+B90,Farmer_Hours)-MIN((Tomato_Beds*Tomato_Hours*Season*(1+Tomato_Dim_Return)^Tomato_Beds+Carrot_Beds*Carrrot_Hours*Season*(1+Carrot_Dim_Return)^Carrot_Beds)+IF(ISNUMBER(B89),B89,0),Farmer_Hours))*Farmer_Cost+(C90-MAX(0,MIN((Tomato_Beds*Tomato_Hours*Season*(1+Tomato_Dim_Return)^Tomato_Beds+Carrot_Beds*Carrrot_Hours*Season*(1+Carrot_Dim_Return)^Carrot_Beds)+B90,Farmer_Hours)-MIN((Tomato_Beds*Tomato_Hours*Season*(1+Tomato_Dim_Return)^Tomato_Beds+Carrot_Beds*Carrrot_Hours*Season*(1+Carrot_Dim_Return)^Carrot_Beds)+IF(ISNUMBER(B89),B89,0),Farmer_Hours)))*Temp_Worker_Cost,"")</f>
        <v>1155.55943483577</v>
      </c>
      <c r="G90" s="23" t="n">
        <f aca="false">IF(A90&lt;=Mesclun_Bed_Cap,D90-E90-F90,"")</f>
        <v>664.440565164232</v>
      </c>
      <c r="H90" s="23" t="n">
        <f aca="false">IF(A90&lt;=Mesclun_Bed_Cap,IF(ISNUMBER(H89),H89,0)+G90,"")</f>
        <v>14535.8212188778</v>
      </c>
      <c r="I90" s="24" t="str">
        <f aca="false">IF(AND(AND(ISNUMBER(G90),G90&lt;0,ISNUMBER(G89),G89&gt;=0),(A90=Mesclun_Beds)),"&lt;- Cross-over &amp; Solver-selected",IF(AND(ISNUMBER(G90),G90&lt;0,ISNUMBER(G89),G89&gt;=0),"&lt;- Cross-over (next bed unprofitable)",IF((A90=Mesclun_Beds),"&lt;- Solver-selected","")))</f>
        <v/>
      </c>
      <c r="J90" s="23" t="n">
        <f aca="false">IF(ISNUMBER(E90),E90+F90,"")</f>
        <v>2035.55943483577</v>
      </c>
      <c r="K90" s="23" t="n">
        <f aca="false">IF(A90&lt;=Mesclun_Bed_Cap,IF(B90&gt;Farmer_Hours+Temp_Worker_Count*Temp_Worker_Hours_Each,"over labor cap",Mesclun_Fertilizer+(MIN(B90,Farmer_Hours)-MIN(N(B89),Farmer_Hours))*Farmer_Cost+(C90-(MIN(B90,Farmer_Hours)-MIN(N(B89),Farmer_Hours)))*Temp_Worker_Cost),"")</f>
        <v>2035.55943483577</v>
      </c>
      <c r="L90" s="23" t="n">
        <f aca="false">IF(A90&lt;=Mesclun_Bed_Cap,IF(B90&gt;Farmer_Hours+Temp_Worker_Count*Temp_Worker_Hours_Each,"over labor cap",(A90*Mesclun_Fertilizer+MIN(B90,Farmer_Hours)*Farmer_Cost+MAX(B90-Farmer_Hours,0)*Temp_Worker_Cost)/A90),"")</f>
        <v>2580.24581065425</v>
      </c>
      <c r="M90" s="23" t="n">
        <f aca="false">IF(ISNUMBER(L90),A90*(Mesclun_Price-L90)-Fixed_Costs,IF(A90&lt;=Mesclun_Bed_Cap,"over labor cap",""))</f>
        <v>-17964.1787811222</v>
      </c>
    </row>
    <row r="91" customFormat="false" ht="15" hidden="false" customHeight="true" outlineLevel="0" collapsed="false">
      <c r="A91" s="22" t="n">
        <f aca="false">ROW()-73</f>
        <v>18</v>
      </c>
      <c r="B91" s="18" t="n">
        <f aca="false">IF(A91&lt;=Mesclun_Bed_Cap,A91*Mesclun_Hours*Season*(1+Mesclun_Dim_Return)^A91,"")</f>
        <v>1012.96768925123</v>
      </c>
      <c r="C91" s="18" t="n">
        <f aca="false">IF(A91&lt;=Mesclun_Bed_Cap,B91-IF(ISNUMBER(B90),B90,0),"")</f>
        <v>68.0869914585873</v>
      </c>
      <c r="D91" s="23" t="n">
        <f aca="false">IF(A91&lt;=Mesclun_Bed_Cap,Mesclun_Price,"")</f>
        <v>2700</v>
      </c>
      <c r="E91" s="23" t="n">
        <f aca="false">IF(A91&lt;=Mesclun_Bed_Cap,Mesclun_Fertilizer,"")</f>
        <v>880</v>
      </c>
      <c r="F91" s="23" t="n">
        <f aca="false">IF(A91&lt;=Mesclun_Bed_Cap,MAX(0,MIN((Tomato_Beds*Tomato_Hours*Season*(1+Tomato_Dim_Return)^Tomato_Beds+Carrot_Beds*Carrrot_Hours*Season*(1+Carrot_Dim_Return)^Carrot_Beds)+B91,Farmer_Hours)-MIN((Tomato_Beds*Tomato_Hours*Season*(1+Tomato_Dim_Return)^Tomato_Beds+Carrot_Beds*Carrrot_Hours*Season*(1+Carrot_Dim_Return)^Carrot_Beds)+IF(ISNUMBER(B90),B90,0),Farmer_Hours))*Farmer_Cost+(C91-MAX(0,MIN((Tomato_Beds*Tomato_Hours*Season*(1+Tomato_Dim_Return)^Tomato_Beds+Carrot_Beds*Carrrot_Hours*Season*(1+Carrot_Dim_Return)^Carrot_Beds)+B91,Farmer_Hours)-MIN((Tomato_Beds*Tomato_Hours*Season*(1+Tomato_Dim_Return)^Tomato_Beds+Carrot_Beds*Carrrot_Hours*Season*(1+Carrot_Dim_Return)^Carrot_Beds)+IF(ISNUMBER(B90),B90,0),Farmer_Hours)))*Temp_Worker_Cost,"")</f>
        <v>1182.06582393381</v>
      </c>
      <c r="G91" s="23" t="n">
        <f aca="false">IF(A91&lt;=Mesclun_Bed_Cap,D91-E91-F91,"")</f>
        <v>637.934176066194</v>
      </c>
      <c r="H91" s="23" t="n">
        <f aca="false">IF(A91&lt;=Mesclun_Bed_Cap,IF(ISNUMBER(H90),H90,0)+G91,"")</f>
        <v>15173.755394944</v>
      </c>
      <c r="I91" s="24" t="str">
        <f aca="false">IF(AND(AND(ISNUMBER(G91),G91&lt;0,ISNUMBER(G90),G90&gt;=0),(A91=Mesclun_Beds)),"&lt;- Cross-over &amp; Solver-selected",IF(AND(ISNUMBER(G91),G91&lt;0,ISNUMBER(G90),G90&gt;=0),"&lt;- Cross-over (next bed unprofitable)",IF((A91=Mesclun_Beds),"&lt;- Solver-selected","")))</f>
        <v/>
      </c>
      <c r="J91" s="23" t="n">
        <f aca="false">IF(ISNUMBER(E91),E91+F91,"")</f>
        <v>2062.06582393381</v>
      </c>
      <c r="K91" s="23" t="n">
        <f aca="false">IF(A91&lt;=Mesclun_Bed_Cap,IF(B91&gt;Farmer_Hours+Temp_Worker_Count*Temp_Worker_Hours_Each,"over labor cap",Mesclun_Fertilizer+(MIN(B91,Farmer_Hours)-MIN(N(B90),Farmer_Hours))*Farmer_Cost+(C91-(MIN(B91,Farmer_Hours)-MIN(N(B90),Farmer_Hours)))*Temp_Worker_Cost),"")</f>
        <v>2062.06582393381</v>
      </c>
      <c r="L91" s="23" t="n">
        <f aca="false">IF(A91&lt;=Mesclun_Bed_Cap,IF(B91&gt;Farmer_Hours+Temp_Worker_Count*Temp_Worker_Hours_Each,"over labor cap",(A91*Mesclun_Fertilizer+MIN(B91,Farmer_Hours)*Farmer_Cost+MAX(B91-Farmer_Hours,0)*Temp_Worker_Cost)/A91),"")</f>
        <v>2551.45803361422</v>
      </c>
      <c r="M91" s="23" t="n">
        <f aca="false">IF(ISNUMBER(L91),A91*(Mesclun_Price-L91)-Fixed_Costs,IF(A91&lt;=Mesclun_Bed_Cap,"over labor cap",""))</f>
        <v>-17326.244605056</v>
      </c>
    </row>
    <row r="92" customFormat="false" ht="15" hidden="false" customHeight="true" outlineLevel="0" collapsed="false">
      <c r="A92" s="22" t="n">
        <f aca="false">ROW()-73</f>
        <v>19</v>
      </c>
      <c r="B92" s="18" t="n">
        <f aca="false">IF(A92&lt;=Mesclun_Bed_Cap,A92*Mesclun_Hours*Season*(1+Mesclun_Dim_Return)^A92,"")</f>
        <v>1082.60921788725</v>
      </c>
      <c r="C92" s="18" t="n">
        <f aca="false">IF(A92&lt;=Mesclun_Bed_Cap,B92-IF(ISNUMBER(B91),B91,0),"")</f>
        <v>69.6415286360219</v>
      </c>
      <c r="D92" s="23" t="n">
        <f aca="false">IF(A92&lt;=Mesclun_Bed_Cap,Mesclun_Price,"")</f>
        <v>2700</v>
      </c>
      <c r="E92" s="23" t="n">
        <f aca="false">IF(A92&lt;=Mesclun_Bed_Cap,Mesclun_Fertilizer,"")</f>
        <v>880</v>
      </c>
      <c r="F92" s="23" t="n">
        <f aca="false">IF(A92&lt;=Mesclun_Bed_Cap,MAX(0,MIN((Tomato_Beds*Tomato_Hours*Season*(1+Tomato_Dim_Return)^Tomato_Beds+Carrot_Beds*Carrrot_Hours*Season*(1+Carrot_Dim_Return)^Carrot_Beds)+B92,Farmer_Hours)-MIN((Tomato_Beds*Tomato_Hours*Season*(1+Tomato_Dim_Return)^Tomato_Beds+Carrot_Beds*Carrrot_Hours*Season*(1+Carrot_Dim_Return)^Carrot_Beds)+IF(ISNUMBER(B91),B91,0),Farmer_Hours))*Farmer_Cost+(C92-MAX(0,MIN((Tomato_Beds*Tomato_Hours*Season*(1+Tomato_Dim_Return)^Tomato_Beds+Carrot_Beds*Carrrot_Hours*Season*(1+Carrot_Dim_Return)^Carrot_Beds)+B92,Farmer_Hours)-MIN((Tomato_Beds*Tomato_Hours*Season*(1+Tomato_Dim_Return)^Tomato_Beds+Carrot_Beds*Carrrot_Hours*Season*(1+Carrot_Dim_Return)^Carrot_Beds)+IF(ISNUMBER(B91),B91,0),Farmer_Hours)))*Temp_Worker_Cost,"")</f>
        <v>1209.0543165976</v>
      </c>
      <c r="G92" s="23" t="n">
        <f aca="false">IF(A92&lt;=Mesclun_Bed_Cap,D92-E92-F92,"")</f>
        <v>610.945683402397</v>
      </c>
      <c r="H92" s="23" t="n">
        <f aca="false">IF(A92&lt;=Mesclun_Bed_Cap,IF(ISNUMBER(H91),H91,0)+G92,"")</f>
        <v>15784.7010783464</v>
      </c>
      <c r="I92" s="24" t="str">
        <f aca="false">IF(AND(AND(ISNUMBER(G92),G92&lt;0,ISNUMBER(G91),G91&gt;=0),(A92=Mesclun_Beds)),"&lt;- Cross-over &amp; Solver-selected",IF(AND(ISNUMBER(G92),G92&lt;0,ISNUMBER(G91),G91&gt;=0),"&lt;- Cross-over (next bed unprofitable)",IF((A92=Mesclun_Beds),"&lt;- Solver-selected","")))</f>
        <v/>
      </c>
      <c r="J92" s="23" t="n">
        <f aca="false">IF(ISNUMBER(E92),E92+F92,"")</f>
        <v>2089.0543165976</v>
      </c>
      <c r="K92" s="23" t="n">
        <f aca="false">IF(A92&lt;=Mesclun_Bed_Cap,IF(B92&gt;Farmer_Hours+Temp_Worker_Count*Temp_Worker_Hours_Each,"over labor cap",Mesclun_Fertilizer+(MIN(B92,Farmer_Hours)-MIN(N(B91),Farmer_Hours))*Farmer_Cost+(C92-(MIN(B92,Farmer_Hours)-MIN(N(B91),Farmer_Hours)))*Temp_Worker_Cost),"")</f>
        <v>2089.0543165976</v>
      </c>
      <c r="L92" s="23" t="n">
        <f aca="false">IF(A92&lt;=Mesclun_Bed_Cap,IF(B92&gt;Farmer_Hours+Temp_Worker_Count*Temp_Worker_Hours_Each,"over labor cap",(A92*Mesclun_Fertilizer+MIN(B92,Farmer_Hours)*Farmer_Cost+MAX(B92-Farmer_Hours,0)*Temp_Worker_Cost)/A92),"")</f>
        <v>2527.12099587651</v>
      </c>
      <c r="M92" s="23" t="n">
        <f aca="false">IF(ISNUMBER(L92),A92*(Mesclun_Price-L92)-Fixed_Costs,IF(A92&lt;=Mesclun_Bed_Cap,"over labor cap",""))</f>
        <v>-16715.2989216536</v>
      </c>
    </row>
    <row r="93" customFormat="false" ht="15" hidden="false" customHeight="true" outlineLevel="0" collapsed="false">
      <c r="A93" s="22" t="n">
        <f aca="false">ROW()-73</f>
        <v>20</v>
      </c>
      <c r="B93" s="18" t="n">
        <f aca="false">IF(A93&lt;=Mesclun_Bed_Cap,A93*Mesclun_Hours*Season*(1+Mesclun_Dim_Return)^A93,"")</f>
        <v>1153.83350853773</v>
      </c>
      <c r="C93" s="18" t="n">
        <f aca="false">IF(A93&lt;=Mesclun_Bed_Cap,B93-IF(ISNUMBER(B92),B92,0),"")</f>
        <v>71.2242906504769</v>
      </c>
      <c r="D93" s="23" t="n">
        <f aca="false">IF(A93&lt;=Mesclun_Bed_Cap,Mesclun_Price,"")</f>
        <v>2700</v>
      </c>
      <c r="E93" s="23" t="n">
        <f aca="false">IF(A93&lt;=Mesclun_Bed_Cap,Mesclun_Fertilizer,"")</f>
        <v>880</v>
      </c>
      <c r="F93" s="23" t="n">
        <f aca="false">IF(A93&lt;=Mesclun_Bed_Cap,MAX(0,MIN((Tomato_Beds*Tomato_Hours*Season*(1+Tomato_Dim_Return)^Tomato_Beds+Carrot_Beds*Carrrot_Hours*Season*(1+Carrot_Dim_Return)^Carrot_Beds)+B93,Farmer_Hours)-MIN((Tomato_Beds*Tomato_Hours*Season*(1+Tomato_Dim_Return)^Tomato_Beds+Carrot_Beds*Carrrot_Hours*Season*(1+Carrot_Dim_Return)^Carrot_Beds)+IF(ISNUMBER(B92),B92,0),Farmer_Hours))*Farmer_Cost+(C93-MAX(0,MIN((Tomato_Beds*Tomato_Hours*Season*(1+Tomato_Dim_Return)^Tomato_Beds+Carrot_Beds*Carrrot_Hours*Season*(1+Carrot_Dim_Return)^Carrot_Beds)+B93,Farmer_Hours)-MIN((Tomato_Beds*Tomato_Hours*Season*(1+Tomato_Dim_Return)^Tomato_Beds+Carrot_Beds*Carrrot_Hours*Season*(1+Carrot_Dim_Return)^Carrot_Beds)+IF(ISNUMBER(B92),B92,0),Farmer_Hours)))*Temp_Worker_Cost,"")</f>
        <v>1236.532823793</v>
      </c>
      <c r="G93" s="23" t="n">
        <f aca="false">IF(A93&lt;=Mesclun_Bed_Cap,D93-E93-F93,"")</f>
        <v>583.467176206999</v>
      </c>
      <c r="H93" s="23" t="n">
        <f aca="false">IF(A93&lt;=Mesclun_Bed_Cap,IF(ISNUMBER(H92),H92,0)+G93,"")</f>
        <v>16368.1682545534</v>
      </c>
      <c r="I93" s="24" t="str">
        <f aca="false">IF(AND(AND(ISNUMBER(G93),G93&lt;0,ISNUMBER(G92),G92&gt;=0),(A93=Mesclun_Beds)),"&lt;- Cross-over &amp; Solver-selected",IF(AND(ISNUMBER(G93),G93&lt;0,ISNUMBER(G92),G92&gt;=0),"&lt;- Cross-over (next bed unprofitable)",IF((A93=Mesclun_Beds),"&lt;- Solver-selected","")))</f>
        <v/>
      </c>
      <c r="J93" s="23" t="n">
        <f aca="false">IF(ISNUMBER(E93),E93+F93,"")</f>
        <v>2116.532823793</v>
      </c>
      <c r="K93" s="23" t="n">
        <f aca="false">IF(A93&lt;=Mesclun_Bed_Cap,IF(B93&gt;Farmer_Hours+Temp_Worker_Count*Temp_Worker_Hours_Each,"over labor cap",Mesclun_Fertilizer+(MIN(B93,Farmer_Hours)-MIN(N(B92),Farmer_Hours))*Farmer_Cost+(C93-(MIN(B93,Farmer_Hours)-MIN(N(B92),Farmer_Hours)))*Temp_Worker_Cost),"")</f>
        <v>2116.532823793</v>
      </c>
      <c r="L93" s="23" t="n">
        <f aca="false">IF(A93&lt;=Mesclun_Bed_Cap,IF(B93&gt;Farmer_Hours+Temp_Worker_Count*Temp_Worker_Hours_Each,"over labor cap",(A93*Mesclun_Fertilizer+MIN(B93,Farmer_Hours)*Farmer_Cost+MAX(B93-Farmer_Hours,0)*Temp_Worker_Cost)/A93),"")</f>
        <v>2506.59158727233</v>
      </c>
      <c r="M93" s="23" t="n">
        <f aca="false">IF(ISNUMBER(L93),A93*(Mesclun_Price-L93)-Fixed_Costs,IF(A93&lt;=Mesclun_Bed_Cap,"over labor cap",""))</f>
        <v>-16131.8317454466</v>
      </c>
    </row>
    <row r="94" customFormat="false" ht="15" hidden="false" customHeight="true" outlineLevel="0" collapsed="false">
      <c r="A94" s="22" t="n">
        <f aca="false">ROW()-73</f>
        <v>21</v>
      </c>
      <c r="B94" s="18" t="n">
        <f aca="false">IF(A94&lt;=Mesclun_Bed_Cap,A94*Mesclun_Hours*Season*(1+Mesclun_Dim_Return)^A94,"")</f>
        <v>1226.66924876417</v>
      </c>
      <c r="C94" s="18" t="n">
        <f aca="false">IF(A94&lt;=Mesclun_Bed_Cap,B94-IF(ISNUMBER(B93),B93,0),"")</f>
        <v>72.8357402264439</v>
      </c>
      <c r="D94" s="23" t="n">
        <f aca="false">IF(A94&lt;=Mesclun_Bed_Cap,Mesclun_Price,"")</f>
        <v>2700</v>
      </c>
      <c r="E94" s="23" t="n">
        <f aca="false">IF(A94&lt;=Mesclun_Bed_Cap,Mesclun_Fertilizer,"")</f>
        <v>880</v>
      </c>
      <c r="F94" s="23" t="n">
        <f aca="false">IF(A94&lt;=Mesclun_Bed_Cap,MAX(0,MIN((Tomato_Beds*Tomato_Hours*Season*(1+Tomato_Dim_Return)^Tomato_Beds+Carrot_Beds*Carrrot_Hours*Season*(1+Carrot_Dim_Return)^Carrot_Beds)+B94,Farmer_Hours)-MIN((Tomato_Beds*Tomato_Hours*Season*(1+Tomato_Dim_Return)^Tomato_Beds+Carrot_Beds*Carrrot_Hours*Season*(1+Carrot_Dim_Return)^Carrot_Beds)+IF(ISNUMBER(B93),B93,0),Farmer_Hours))*Farmer_Cost+(C94-MAX(0,MIN((Tomato_Beds*Tomato_Hours*Season*(1+Tomato_Dim_Return)^Tomato_Beds+Carrot_Beds*Carrrot_Hours*Season*(1+Carrot_Dim_Return)^Carrot_Beds)+B94,Farmer_Hours)-MIN((Tomato_Beds*Tomato_Hours*Season*(1+Tomato_Dim_Return)^Tomato_Beds+Carrot_Beds*Carrrot_Hours*Season*(1+Carrot_Dim_Return)^Carrot_Beds)+IF(ISNUMBER(B93),B93,0),Farmer_Hours)))*Temp_Worker_Cost,"")</f>
        <v>1264.50937893132</v>
      </c>
      <c r="G94" s="23" t="n">
        <f aca="false">IF(A94&lt;=Mesclun_Bed_Cap,D94-E94-F94,"")</f>
        <v>555.490621068682</v>
      </c>
      <c r="H94" s="23" t="n">
        <f aca="false">IF(A94&lt;=Mesclun_Bed_Cap,IF(ISNUMBER(H93),H93,0)+G94,"")</f>
        <v>16923.6588756221</v>
      </c>
      <c r="I94" s="24" t="str">
        <f aca="false">IF(AND(AND(ISNUMBER(G94),G94&lt;0,ISNUMBER(G93),G93&gt;=0),(A94=Mesclun_Beds)),"&lt;- Cross-over &amp; Solver-selected",IF(AND(ISNUMBER(G94),G94&lt;0,ISNUMBER(G93),G93&gt;=0),"&lt;- Cross-over (next bed unprofitable)",IF((A94=Mesclun_Beds),"&lt;- Solver-selected","")))</f>
        <v/>
      </c>
      <c r="J94" s="23" t="n">
        <f aca="false">IF(ISNUMBER(E94),E94+F94,"")</f>
        <v>2144.50937893132</v>
      </c>
      <c r="K94" s="23" t="n">
        <f aca="false">IF(A94&lt;=Mesclun_Bed_Cap,IF(B94&gt;Farmer_Hours+Temp_Worker_Count*Temp_Worker_Hours_Each,"over labor cap",Mesclun_Fertilizer+(MIN(B94,Farmer_Hours)-MIN(N(B93),Farmer_Hours))*Farmer_Cost+(C94-(MIN(B94,Farmer_Hours)-MIN(N(B93),Farmer_Hours)))*Temp_Worker_Cost),"")</f>
        <v>2144.50937893132</v>
      </c>
      <c r="L94" s="23" t="n">
        <f aca="false">IF(A94&lt;=Mesclun_Bed_Cap,IF(B94&gt;Farmer_Hours+Temp_Worker_Count*Temp_Worker_Hours_Each,"over labor cap",(A94*Mesclun_Fertilizer+MIN(B94,Farmer_Hours)*Farmer_Cost+MAX(B94-Farmer_Hours,0)*Temp_Worker_Cost)/A94),"")</f>
        <v>2489.34957735133</v>
      </c>
      <c r="M94" s="23" t="n">
        <f aca="false">IF(ISNUMBER(L94),A94*(Mesclun_Price-L94)-Fixed_Costs,IF(A94&lt;=Mesclun_Bed_Cap,"over labor cap",""))</f>
        <v>-15576.341124378</v>
      </c>
    </row>
    <row r="95" customFormat="false" ht="15" hidden="false" customHeight="true" outlineLevel="0" collapsed="false">
      <c r="A95" s="22" t="n">
        <f aca="false">ROW()-73</f>
        <v>22</v>
      </c>
      <c r="B95" s="18" t="n">
        <f aca="false">IF(A95&lt;=Mesclun_Bed_Cap,A95*Mesclun_Hours*Season*(1+Mesclun_Dim_Return)^A95,"")</f>
        <v>1301.14559601057</v>
      </c>
      <c r="C95" s="18" t="n">
        <f aca="false">IF(A95&lt;=Mesclun_Bed_Cap,B95-IF(ISNUMBER(B94),B94,0),"")</f>
        <v>74.476347246396</v>
      </c>
      <c r="D95" s="23" t="n">
        <f aca="false">IF(A95&lt;=Mesclun_Bed_Cap,Mesclun_Price,"")</f>
        <v>2700</v>
      </c>
      <c r="E95" s="23" t="n">
        <f aca="false">IF(A95&lt;=Mesclun_Bed_Cap,Mesclun_Fertilizer,"")</f>
        <v>880</v>
      </c>
      <c r="F95" s="23" t="n">
        <f aca="false">IF(A95&lt;=Mesclun_Bed_Cap,MAX(0,MIN((Tomato_Beds*Tomato_Hours*Season*(1+Tomato_Dim_Return)^Tomato_Beds+Carrot_Beds*Carrrot_Hours*Season*(1+Carrot_Dim_Return)^Carrot_Beds)+B95,Farmer_Hours)-MIN((Tomato_Beds*Tomato_Hours*Season*(1+Tomato_Dim_Return)^Tomato_Beds+Carrot_Beds*Carrrot_Hours*Season*(1+Carrot_Dim_Return)^Carrot_Beds)+IF(ISNUMBER(B94),B94,0),Farmer_Hours))*Farmer_Cost+(C95-MAX(0,MIN((Tomato_Beds*Tomato_Hours*Season*(1+Tomato_Dim_Return)^Tomato_Beds+Carrot_Beds*Carrrot_Hours*Season*(1+Carrot_Dim_Return)^Carrot_Beds)+B95,Farmer_Hours)-MIN((Tomato_Beds*Tomato_Hours*Season*(1+Tomato_Dim_Return)^Tomato_Beds+Carrot_Beds*Carrrot_Hours*Season*(1+Carrot_Dim_Return)^Carrot_Beds)+IF(ISNUMBER(B94),B94,0),Farmer_Hours)))*Temp_Worker_Cost,"")</f>
        <v>1292.99213969438</v>
      </c>
      <c r="G95" s="23" t="n">
        <f aca="false">IF(A95&lt;=Mesclun_Bed_Cap,D95-E95-F95,"")</f>
        <v>527.007860305625</v>
      </c>
      <c r="H95" s="23" t="n">
        <f aca="false">IF(A95&lt;=Mesclun_Bed_Cap,IF(ISNUMBER(H94),H94,0)+G95,"")</f>
        <v>17450.6667359277</v>
      </c>
      <c r="I95" s="24" t="str">
        <f aca="false">IF(AND(AND(ISNUMBER(G95),G95&lt;0,ISNUMBER(G94),G94&gt;=0),(A95=Mesclun_Beds)),"&lt;- Cross-over &amp; Solver-selected",IF(AND(ISNUMBER(G95),G95&lt;0,ISNUMBER(G94),G94&gt;=0),"&lt;- Cross-over (next bed unprofitable)",IF((A95=Mesclun_Beds),"&lt;- Solver-selected","")))</f>
        <v/>
      </c>
      <c r="J95" s="23" t="n">
        <f aca="false">IF(ISNUMBER(E95),E95+F95,"")</f>
        <v>2172.99213969438</v>
      </c>
      <c r="K95" s="23" t="n">
        <f aca="false">IF(A95&lt;=Mesclun_Bed_Cap,IF(B95&gt;Farmer_Hours+Temp_Worker_Count*Temp_Worker_Hours_Each,"over labor cap",Mesclun_Fertilizer+(MIN(B95,Farmer_Hours)-MIN(N(B94),Farmer_Hours))*Farmer_Cost+(C95-(MIN(B95,Farmer_Hours)-MIN(N(B94),Farmer_Hours)))*Temp_Worker_Cost),"")</f>
        <v>2172.99213969438</v>
      </c>
      <c r="L95" s="23" t="n">
        <f aca="false">IF(A95&lt;=Mesclun_Bed_Cap,IF(B95&gt;Farmer_Hours+Temp_Worker_Count*Temp_Worker_Hours_Each,"over labor cap",(A95*Mesclun_Fertilizer+MIN(B95,Farmer_Hours)*Farmer_Cost+MAX(B95-Farmer_Hours,0)*Temp_Worker_Cost)/A95),"")</f>
        <v>2474.96969382147</v>
      </c>
      <c r="M95" s="23" t="n">
        <f aca="false">IF(ISNUMBER(L95),A95*(Mesclun_Price-L95)-Fixed_Costs,IF(A95&lt;=Mesclun_Bed_Cap,"over labor cap",""))</f>
        <v>-15049.3332640723</v>
      </c>
    </row>
    <row r="96" customFormat="false" ht="15" hidden="false" customHeight="true" outlineLevel="0" collapsed="false">
      <c r="A96" s="22" t="n">
        <f aca="false">ROW()-73</f>
        <v>23</v>
      </c>
      <c r="B96" s="18" t="n">
        <f aca="false">IF(A96&lt;=Mesclun_Bed_Cap,A96*Mesclun_Hours*Season*(1+Mesclun_Dim_Return)^A96,"")</f>
        <v>1377.292184868</v>
      </c>
      <c r="C96" s="18" t="n">
        <f aca="false">IF(A96&lt;=Mesclun_Bed_Cap,B96-IF(ISNUMBER(B95),B95,0),"")</f>
        <v>76.1465888574364</v>
      </c>
      <c r="D96" s="23" t="n">
        <f aca="false">IF(A96&lt;=Mesclun_Bed_Cap,Mesclun_Price,"")</f>
        <v>2700</v>
      </c>
      <c r="E96" s="23" t="n">
        <f aca="false">IF(A96&lt;=Mesclun_Bed_Cap,Mesclun_Fertilizer,"")</f>
        <v>880</v>
      </c>
      <c r="F96" s="23" t="n">
        <f aca="false">IF(A96&lt;=Mesclun_Bed_Cap,MAX(0,MIN((Tomato_Beds*Tomato_Hours*Season*(1+Tomato_Dim_Return)^Tomato_Beds+Carrot_Beds*Carrrot_Hours*Season*(1+Carrot_Dim_Return)^Carrot_Beds)+B96,Farmer_Hours)-MIN((Tomato_Beds*Tomato_Hours*Season*(1+Tomato_Dim_Return)^Tomato_Beds+Carrot_Beds*Carrrot_Hours*Season*(1+Carrot_Dim_Return)^Carrot_Beds)+IF(ISNUMBER(B95),B95,0),Farmer_Hours))*Farmer_Cost+(C96-MAX(0,MIN((Tomato_Beds*Tomato_Hours*Season*(1+Tomato_Dim_Return)^Tomato_Beds+Carrot_Beds*Carrrot_Hours*Season*(1+Carrot_Dim_Return)^Carrot_Beds)+B96,Farmer_Hours)-MIN((Tomato_Beds*Tomato_Hours*Season*(1+Tomato_Dim_Return)^Tomato_Beds+Carrot_Beds*Carrrot_Hours*Season*(1+Carrot_Dim_Return)^Carrot_Beds)+IF(ISNUMBER(B95),B95,0),Farmer_Hours)))*Temp_Worker_Cost,"")</f>
        <v>1321.98938988605</v>
      </c>
      <c r="G96" s="23" t="n">
        <f aca="false">IF(A96&lt;=Mesclun_Bed_Cap,D96-E96-F96,"")</f>
        <v>498.010610113951</v>
      </c>
      <c r="H96" s="23" t="n">
        <f aca="false">IF(A96&lt;=Mesclun_Bed_Cap,IF(ISNUMBER(H95),H95,0)+G96,"")</f>
        <v>17948.6773460416</v>
      </c>
      <c r="I96" s="24" t="str">
        <f aca="false">IF(AND(AND(ISNUMBER(G96),G96&lt;0,ISNUMBER(G95),G95&gt;=0),(A96=Mesclun_Beds)),"&lt;- Cross-over &amp; Solver-selected",IF(AND(ISNUMBER(G96),G96&lt;0,ISNUMBER(G95),G95&gt;=0),"&lt;- Cross-over (next bed unprofitable)",IF((A96=Mesclun_Beds),"&lt;- Solver-selected","")))</f>
        <v/>
      </c>
      <c r="J96" s="23" t="n">
        <f aca="false">IF(ISNUMBER(E96),E96+F96,"")</f>
        <v>2201.98938988605</v>
      </c>
      <c r="K96" s="23" t="n">
        <f aca="false">IF(A96&lt;=Mesclun_Bed_Cap,IF(B96&gt;Farmer_Hours+Temp_Worker_Count*Temp_Worker_Hours_Each,"over labor cap",Mesclun_Fertilizer+(MIN(B96,Farmer_Hours)-MIN(N(B95),Farmer_Hours))*Farmer_Cost+(C96-(MIN(B96,Farmer_Hours)-MIN(N(B95),Farmer_Hours)))*Temp_Worker_Cost),"")</f>
        <v>2201.98938988605</v>
      </c>
      <c r="L96" s="23" t="n">
        <f aca="false">IF(A96&lt;=Mesclun_Bed_Cap,IF(B96&gt;Farmer_Hours+Temp_Worker_Count*Temp_Worker_Hours_Each,"over labor cap",(A96*Mesclun_Fertilizer+MIN(B96,Farmer_Hours)*Farmer_Cost+MAX(B96-Farmer_Hours,0)*Temp_Worker_Cost)/A96),"")</f>
        <v>2463.10098495471</v>
      </c>
      <c r="M96" s="23" t="n">
        <f aca="false">IF(ISNUMBER(L96),A96*(Mesclun_Price-L96)-Fixed_Costs,IF(A96&lt;=Mesclun_Bed_Cap,"over labor cap",""))</f>
        <v>-14551.3226539584</v>
      </c>
    </row>
    <row r="97" customFormat="false" ht="15" hidden="false" customHeight="true" outlineLevel="0" collapsed="false">
      <c r="A97" s="22" t="n">
        <f aca="false">ROW()-73</f>
        <v>24</v>
      </c>
      <c r="B97" s="18" t="n">
        <f aca="false">IF(A97&lt;=Mesclun_Bed_Cap,A97*Mesclun_Hours*Season*(1+Mesclun_Dim_Return)^A97,"")</f>
        <v>1455.1391344475</v>
      </c>
      <c r="C97" s="18" t="n">
        <f aca="false">IF(A97&lt;=Mesclun_Bed_Cap,B97-IF(ISNUMBER(B96),B96,0),"")</f>
        <v>77.8469495794957</v>
      </c>
      <c r="D97" s="23" t="n">
        <f aca="false">IF(A97&lt;=Mesclun_Bed_Cap,Mesclun_Price,"")</f>
        <v>2700</v>
      </c>
      <c r="E97" s="23" t="n">
        <f aca="false">IF(A97&lt;=Mesclun_Bed_Cap,Mesclun_Fertilizer,"")</f>
        <v>880</v>
      </c>
      <c r="F97" s="23" t="n">
        <f aca="false">IF(A97&lt;=Mesclun_Bed_Cap,MAX(0,MIN((Tomato_Beds*Tomato_Hours*Season*(1+Tomato_Dim_Return)^Tomato_Beds+Carrot_Beds*Carrrot_Hours*Season*(1+Carrot_Dim_Return)^Carrot_Beds)+B97,Farmer_Hours)-MIN((Tomato_Beds*Tomato_Hours*Season*(1+Tomato_Dim_Return)^Tomato_Beds+Carrot_Beds*Carrrot_Hours*Season*(1+Carrot_Dim_Return)^Carrot_Beds)+IF(ISNUMBER(B96),B96,0),Farmer_Hours))*Farmer_Cost+(C97-MAX(0,MIN((Tomato_Beds*Tomato_Hours*Season*(1+Tomato_Dim_Return)^Tomato_Beds+Carrot_Beds*Carrrot_Hours*Season*(1+Carrot_Dim_Return)^Carrot_Beds)+B97,Farmer_Hours)-MIN((Tomato_Beds*Tomato_Hours*Season*(1+Tomato_Dim_Return)^Tomato_Beds+Carrot_Beds*Carrrot_Hours*Season*(1+Carrot_Dim_Return)^Carrot_Beds)+IF(ISNUMBER(B96),B96,0),Farmer_Hours)))*Temp_Worker_Cost,"")</f>
        <v>1351.50954131069</v>
      </c>
      <c r="G97" s="23" t="n">
        <f aca="false">IF(A97&lt;=Mesclun_Bed_Cap,D97-E97-F97,"")</f>
        <v>468.490458689311</v>
      </c>
      <c r="H97" s="23" t="n">
        <f aca="false">IF(A97&lt;=Mesclun_Bed_Cap,IF(ISNUMBER(H96),H96,0)+G97,"")</f>
        <v>18417.1678047309</v>
      </c>
      <c r="I97" s="24" t="str">
        <f aca="false">IF(AND(AND(ISNUMBER(G97),G97&lt;0,ISNUMBER(G96),G96&gt;=0),(A97=Mesclun_Beds)),"&lt;- Cross-over &amp; Solver-selected",IF(AND(ISNUMBER(G97),G97&lt;0,ISNUMBER(G96),G96&gt;=0),"&lt;- Cross-over (next bed unprofitable)",IF((A97=Mesclun_Beds),"&lt;- Solver-selected","")))</f>
        <v/>
      </c>
      <c r="J97" s="23" t="n">
        <f aca="false">IF(ISNUMBER(E97),E97+F97,"")</f>
        <v>2231.50954131069</v>
      </c>
      <c r="K97" s="23" t="n">
        <f aca="false">IF(A97&lt;=Mesclun_Bed_Cap,IF(B97&gt;Farmer_Hours+Temp_Worker_Count*Temp_Worker_Hours_Each,"over labor cap",Mesclun_Fertilizer+(MIN(B97,Farmer_Hours)-MIN(N(B96),Farmer_Hours))*Farmer_Cost+(C97-(MIN(B97,Farmer_Hours)-MIN(N(B96),Farmer_Hours)))*Temp_Worker_Cost),"")</f>
        <v>2231.50954131069</v>
      </c>
      <c r="L97" s="23" t="n">
        <f aca="false">IF(A97&lt;=Mesclun_Bed_Cap,IF(B97&gt;Farmer_Hours+Temp_Worker_Count*Temp_Worker_Hours_Each,"over labor cap",(A97*Mesclun_Fertilizer+MIN(B97,Farmer_Hours)*Farmer_Cost+MAX(B97-Farmer_Hours,0)*Temp_Worker_Cost)/A97),"")</f>
        <v>2453.45134146954</v>
      </c>
      <c r="M97" s="23" t="n">
        <f aca="false">IF(ISNUMBER(L97),A97*(Mesclun_Price-L97)-Fixed_Costs,IF(A97&lt;=Mesclun_Bed_Cap,"over labor cap",""))</f>
        <v>-14082.8321952691</v>
      </c>
    </row>
    <row r="98" customFormat="false" ht="15" hidden="false" customHeight="true" outlineLevel="0" collapsed="false">
      <c r="A98" s="22" t="n">
        <f aca="false">ROW()-73</f>
        <v>25</v>
      </c>
      <c r="B98" s="18" t="n">
        <f aca="false">IF(A98&lt;=Mesclun_Bed_Cap,A98*Mesclun_Hours*Season*(1+Mesclun_Dim_Return)^A98,"")</f>
        <v>1534.7170558626</v>
      </c>
      <c r="C98" s="18" t="n">
        <f aca="false">IF(A98&lt;=Mesclun_Bed_Cap,B98-IF(ISNUMBER(B97),B97,0),"")</f>
        <v>79.5779214150975</v>
      </c>
      <c r="D98" s="23" t="n">
        <f aca="false">IF(A98&lt;=Mesclun_Bed_Cap,Mesclun_Price,"")</f>
        <v>2700</v>
      </c>
      <c r="E98" s="23" t="n">
        <f aca="false">IF(A98&lt;=Mesclun_Bed_Cap,Mesclun_Fertilizer,"")</f>
        <v>880</v>
      </c>
      <c r="F98" s="23" t="n">
        <f aca="false">IF(A98&lt;=Mesclun_Bed_Cap,MAX(0,MIN((Tomato_Beds*Tomato_Hours*Season*(1+Tomato_Dim_Return)^Tomato_Beds+Carrot_Beds*Carrrot_Hours*Season*(1+Carrot_Dim_Return)^Carrot_Beds)+B98,Farmer_Hours)-MIN((Tomato_Beds*Tomato_Hours*Season*(1+Tomato_Dim_Return)^Tomato_Beds+Carrot_Beds*Carrrot_Hours*Season*(1+Carrot_Dim_Return)^Carrot_Beds)+IF(ISNUMBER(B97),B97,0),Farmer_Hours))*Farmer_Cost+(C98-MAX(0,MIN((Tomato_Beds*Tomato_Hours*Season*(1+Tomato_Dim_Return)^Tomato_Beds+Carrot_Beds*Carrrot_Hours*Season*(1+Carrot_Dim_Return)^Carrot_Beds)+B98,Farmer_Hours)-MIN((Tomato_Beds*Tomato_Hours*Season*(1+Tomato_Dim_Return)^Tomato_Beds+Carrot_Beds*Carrrot_Hours*Season*(1+Carrot_Dim_Return)^Carrot_Beds)+IF(ISNUMBER(B97),B97,0),Farmer_Hours)))*Temp_Worker_Cost,"")</f>
        <v>1381.56113567878</v>
      </c>
      <c r="G98" s="23" t="n">
        <f aca="false">IF(A98&lt;=Mesclun_Bed_Cap,D98-E98-F98,"")</f>
        <v>438.438864321224</v>
      </c>
      <c r="H98" s="23" t="n">
        <f aca="false">IF(A98&lt;=Mesclun_Bed_Cap,IF(ISNUMBER(H97),H97,0)+G98,"")</f>
        <v>18855.6066690522</v>
      </c>
      <c r="I98" s="24" t="str">
        <f aca="false">IF(AND(AND(ISNUMBER(G98),G98&lt;0,ISNUMBER(G97),G97&gt;=0),(A98=Mesclun_Beds)),"&lt;- Cross-over &amp; Solver-selected",IF(AND(ISNUMBER(G98),G98&lt;0,ISNUMBER(G97),G97&gt;=0),"&lt;- Cross-over (next bed unprofitable)",IF((A98=Mesclun_Beds),"&lt;- Solver-selected","")))</f>
        <v/>
      </c>
      <c r="J98" s="23" t="n">
        <f aca="false">IF(ISNUMBER(E98),E98+F98,"")</f>
        <v>2261.56113567878</v>
      </c>
      <c r="K98" s="23" t="n">
        <f aca="false">IF(A98&lt;=Mesclun_Bed_Cap,IF(B98&gt;Farmer_Hours+Temp_Worker_Count*Temp_Worker_Hours_Each,"over labor cap",Mesclun_Fertilizer+(MIN(B98,Farmer_Hours)-MIN(N(B97),Farmer_Hours))*Farmer_Cost+(C98-(MIN(B98,Farmer_Hours)-MIN(N(B97),Farmer_Hours)))*Temp_Worker_Cost),"")</f>
        <v>2261.56113567878</v>
      </c>
      <c r="L98" s="23" t="n">
        <f aca="false">IF(A98&lt;=Mesclun_Bed_Cap,IF(B98&gt;Farmer_Hours+Temp_Worker_Count*Temp_Worker_Hours_Each,"over labor cap",(A98*Mesclun_Fertilizer+MIN(B98,Farmer_Hours)*Farmer_Cost+MAX(B98-Farmer_Hours,0)*Temp_Worker_Cost)/A98),"")</f>
        <v>2445.77573323791</v>
      </c>
      <c r="M98" s="23" t="n">
        <f aca="false">IF(ISNUMBER(L98),A98*(Mesclun_Price-L98)-Fixed_Costs,IF(A98&lt;=Mesclun_Bed_Cap,"over labor cap",""))</f>
        <v>-13644.3933309478</v>
      </c>
    </row>
    <row r="99" customFormat="false" ht="15" hidden="false" customHeight="true" outlineLevel="0" collapsed="false">
      <c r="A99" s="22" t="n">
        <f aca="false">ROW()-73</f>
        <v>26</v>
      </c>
      <c r="B99" s="18" t="n">
        <f aca="false">IF(A99&lt;=Mesclun_Bed_Cap,A99*Mesclun_Hours*Season*(1+Mesclun_Dim_Return)^A99,"")</f>
        <v>1616.05705982331</v>
      </c>
      <c r="C99" s="18" t="n">
        <f aca="false">IF(A99&lt;=Mesclun_Bed_Cap,B99-IF(ISNUMBER(B98),B98,0),"")</f>
        <v>81.3400039607172</v>
      </c>
      <c r="D99" s="23" t="n">
        <f aca="false">IF(A99&lt;=Mesclun_Bed_Cap,Mesclun_Price,"")</f>
        <v>2700</v>
      </c>
      <c r="E99" s="23" t="n">
        <f aca="false">IF(A99&lt;=Mesclun_Bed_Cap,Mesclun_Fertilizer,"")</f>
        <v>880</v>
      </c>
      <c r="F99" s="23" t="n">
        <f aca="false">IF(A99&lt;=Mesclun_Bed_Cap,MAX(0,MIN((Tomato_Beds*Tomato_Hours*Season*(1+Tomato_Dim_Return)^Tomato_Beds+Carrot_Beds*Carrrot_Hours*Season*(1+Carrot_Dim_Return)^Carrot_Beds)+B99,Farmer_Hours)-MIN((Tomato_Beds*Tomato_Hours*Season*(1+Tomato_Dim_Return)^Tomato_Beds+Carrot_Beds*Carrrot_Hours*Season*(1+Carrot_Dim_Return)^Carrot_Beds)+IF(ISNUMBER(B98),B98,0),Farmer_Hours))*Farmer_Cost+(C99-MAX(0,MIN((Tomato_Beds*Tomato_Hours*Season*(1+Tomato_Dim_Return)^Tomato_Beds+Carrot_Beds*Carrrot_Hours*Season*(1+Carrot_Dim_Return)^Carrot_Beds)+B99,Farmer_Hours)-MIN((Tomato_Beds*Tomato_Hours*Season*(1+Tomato_Dim_Return)^Tomato_Beds+Carrot_Beds*Carrrot_Hours*Season*(1+Carrot_Dim_Return)^Carrot_Beds)+IF(ISNUMBER(B98),B98,0),Farmer_Hours)))*Temp_Worker_Cost,"")</f>
        <v>1412.15284654023</v>
      </c>
      <c r="G99" s="23" t="n">
        <f aca="false">IF(A99&lt;=Mesclun_Bed_Cap,D99-E99-F99,"")</f>
        <v>407.84715345977</v>
      </c>
      <c r="H99" s="23" t="n">
        <f aca="false">IF(A99&lt;=Mesclun_Bed_Cap,IF(ISNUMBER(H98),H98,0)+G99,"")</f>
        <v>19263.4538225119</v>
      </c>
      <c r="I99" s="24" t="str">
        <f aca="false">IF(AND(AND(ISNUMBER(G99),G99&lt;0,ISNUMBER(G98),G98&gt;=0),(A99=Mesclun_Beds)),"&lt;- Cross-over &amp; Solver-selected",IF(AND(ISNUMBER(G99),G99&lt;0,ISNUMBER(G98),G98&gt;=0),"&lt;- Cross-over (next bed unprofitable)",IF((A99=Mesclun_Beds),"&lt;- Solver-selected","")))</f>
        <v/>
      </c>
      <c r="J99" s="23" t="n">
        <f aca="false">IF(ISNUMBER(E99),E99+F99,"")</f>
        <v>2292.15284654023</v>
      </c>
      <c r="K99" s="23" t="n">
        <f aca="false">IF(A99&lt;=Mesclun_Bed_Cap,IF(B99&gt;Farmer_Hours+Temp_Worker_Count*Temp_Worker_Hours_Each,"over labor cap",Mesclun_Fertilizer+(MIN(B99,Farmer_Hours)-MIN(N(B98),Farmer_Hours))*Farmer_Cost+(C99-(MIN(B99,Farmer_Hours)-MIN(N(B98),Farmer_Hours)))*Temp_Worker_Cost),"")</f>
        <v>2292.15284654023</v>
      </c>
      <c r="L99" s="23" t="n">
        <f aca="false">IF(A99&lt;=Mesclun_Bed_Cap,IF(B99&gt;Farmer_Hours+Temp_Worker_Count*Temp_Worker_Hours_Each,"over labor cap",(A99*Mesclun_Fertilizer+MIN(B99,Farmer_Hours)*Farmer_Cost+MAX(B99-Farmer_Hours,0)*Temp_Worker_Cost)/A99),"")</f>
        <v>2439.86716067262</v>
      </c>
      <c r="M99" s="23" t="n">
        <f aca="false">IF(ISNUMBER(L99),A99*(Mesclun_Price-L99)-Fixed_Costs,IF(A99&lt;=Mesclun_Bed_Cap,"over labor cap",""))</f>
        <v>-13236.5461774881</v>
      </c>
    </row>
    <row r="100" customFormat="false" ht="15" hidden="false" customHeight="true" outlineLevel="0" collapsed="false">
      <c r="A100" s="22" t="n">
        <f aca="false">ROW()-73</f>
        <v>27</v>
      </c>
      <c r="B100" s="18" t="n">
        <f aca="false">IF(A100&lt;=Mesclun_Bed_Cap,A100*Mesclun_Hours*Season*(1+Mesclun_Dim_Return)^A100,"")</f>
        <v>1699.19076434307</v>
      </c>
      <c r="C100" s="18" t="n">
        <f aca="false">IF(A100&lt;=Mesclun_Bed_Cap,B100-IF(ISNUMBER(B99),B99,0),"")</f>
        <v>83.1337045197572</v>
      </c>
      <c r="D100" s="23" t="n">
        <f aca="false">IF(A100&lt;=Mesclun_Bed_Cap,Mesclun_Price,"")</f>
        <v>2700</v>
      </c>
      <c r="E100" s="23" t="n">
        <f aca="false">IF(A100&lt;=Mesclun_Bed_Cap,Mesclun_Fertilizer,"")</f>
        <v>880</v>
      </c>
      <c r="F100" s="23" t="n">
        <f aca="false">IF(A100&lt;=Mesclun_Bed_Cap,MAX(0,MIN((Tomato_Beds*Tomato_Hours*Season*(1+Tomato_Dim_Return)^Tomato_Beds+Carrot_Beds*Carrrot_Hours*Season*(1+Carrot_Dim_Return)^Carrot_Beds)+B100,Farmer_Hours)-MIN((Tomato_Beds*Tomato_Hours*Season*(1+Tomato_Dim_Return)^Tomato_Beds+Carrot_Beds*Carrrot_Hours*Season*(1+Carrot_Dim_Return)^Carrot_Beds)+IF(ISNUMBER(B99),B99,0),Farmer_Hours))*Farmer_Cost+(C100-MAX(0,MIN((Tomato_Beds*Tomato_Hours*Season*(1+Tomato_Dim_Return)^Tomato_Beds+Carrot_Beds*Carrrot_Hours*Season*(1+Carrot_Dim_Return)^Carrot_Beds)+B100,Farmer_Hours)-MIN((Tomato_Beds*Tomato_Hours*Season*(1+Tomato_Dim_Return)^Tomato_Beds+Carrot_Beds*Carrrot_Hours*Season*(1+Carrot_Dim_Return)^Carrot_Beds)+IF(ISNUMBER(B99),B99,0),Farmer_Hours)))*Temp_Worker_Cost,"")</f>
        <v>1443.29348124578</v>
      </c>
      <c r="G100" s="23" t="n">
        <f aca="false">IF(A100&lt;=Mesclun_Bed_Cap,D100-E100-F100,"")</f>
        <v>376.706518754215</v>
      </c>
      <c r="H100" s="23" t="n">
        <f aca="false">IF(A100&lt;=Mesclun_Bed_Cap,IF(ISNUMBER(H99),H99,0)+G100,"")</f>
        <v>19640.1603412661</v>
      </c>
      <c r="I100" s="24" t="str">
        <f aca="false">IF(AND(AND(ISNUMBER(G100),G100&lt;0,ISNUMBER(G99),G99&gt;=0),(A100=Mesclun_Beds)),"&lt;- Cross-over &amp; Solver-selected",IF(AND(ISNUMBER(G100),G100&lt;0,ISNUMBER(G99),G99&gt;=0),"&lt;- Cross-over (next bed unprofitable)",IF((A100=Mesclun_Beds),"&lt;- Solver-selected","")))</f>
        <v/>
      </c>
      <c r="J100" s="23" t="n">
        <f aca="false">IF(ISNUMBER(E100),E100+F100,"")</f>
        <v>2323.29348124578</v>
      </c>
      <c r="K100" s="23" t="n">
        <f aca="false">IF(A100&lt;=Mesclun_Bed_Cap,IF(B100&gt;Farmer_Hours+Temp_Worker_Count*Temp_Worker_Hours_Each,"over labor cap",Mesclun_Fertilizer+(MIN(B100,Farmer_Hours)-MIN(N(B99),Farmer_Hours))*Farmer_Cost+(C100-(MIN(B100,Farmer_Hours)-MIN(N(B99),Farmer_Hours)))*Temp_Worker_Cost),"")</f>
        <v>2323.29348124578</v>
      </c>
      <c r="L100" s="23" t="n">
        <f aca="false">IF(A100&lt;=Mesclun_Bed_Cap,IF(B100&gt;Farmer_Hours+Temp_Worker_Count*Temp_Worker_Hours_Each,"over labor cap",(A100*Mesclun_Fertilizer+MIN(B100,Farmer_Hours)*Farmer_Cost+MAX(B100-Farmer_Hours,0)*Temp_Worker_Cost)/A100),"")</f>
        <v>2435.54961699014</v>
      </c>
      <c r="M100" s="23" t="n">
        <f aca="false">IF(ISNUMBER(L100),A100*(Mesclun_Price-L100)-Fixed_Costs,IF(A100&lt;=Mesclun_Bed_Cap,"over labor cap",""))</f>
        <v>-12859.8396587339</v>
      </c>
    </row>
    <row r="101" customFormat="false" ht="15" hidden="false" customHeight="true" outlineLevel="0" collapsed="false">
      <c r="A101" s="22" t="n">
        <f aca="false">ROW()-73</f>
        <v>28</v>
      </c>
      <c r="B101" s="18" t="n">
        <f aca="false">IF(A101&lt;=Mesclun_Bed_Cap,A101*Mesclun_Hours*Season*(1+Mesclun_Dim_Return)^A101,"")</f>
        <v>1784.15030256022</v>
      </c>
      <c r="C101" s="18" t="n">
        <f aca="false">IF(A101&lt;=Mesclun_Bed_Cap,B101-IF(ISNUMBER(B100),B100,0),"")</f>
        <v>84.9595382171533</v>
      </c>
      <c r="D101" s="23" t="n">
        <f aca="false">IF(A101&lt;=Mesclun_Bed_Cap,Mesclun_Price,"")</f>
        <v>2700</v>
      </c>
      <c r="E101" s="23" t="n">
        <f aca="false">IF(A101&lt;=Mesclun_Bed_Cap,Mesclun_Fertilizer,"")</f>
        <v>880</v>
      </c>
      <c r="F101" s="23" t="n">
        <f aca="false">IF(A101&lt;=Mesclun_Bed_Cap,MAX(0,MIN((Tomato_Beds*Tomato_Hours*Season*(1+Tomato_Dim_Return)^Tomato_Beds+Carrot_Beds*Carrrot_Hours*Season*(1+Carrot_Dim_Return)^Carrot_Beds)+B101,Farmer_Hours)-MIN((Tomato_Beds*Tomato_Hours*Season*(1+Tomato_Dim_Return)^Tomato_Beds+Carrot_Beds*Carrrot_Hours*Season*(1+Carrot_Dim_Return)^Carrot_Beds)+IF(ISNUMBER(B100),B100,0),Farmer_Hours))*Farmer_Cost+(C101-MAX(0,MIN((Tomato_Beds*Tomato_Hours*Season*(1+Tomato_Dim_Return)^Tomato_Beds+Carrot_Beds*Carrrot_Hours*Season*(1+Carrot_Dim_Return)^Carrot_Beds)+B101,Farmer_Hours)-MIN((Tomato_Beds*Tomato_Hours*Season*(1+Tomato_Dim_Return)^Tomato_Beds+Carrot_Beds*Carrrot_Hours*Season*(1+Carrot_Dim_Return)^Carrot_Beds)+IF(ISNUMBER(B100),B100,0),Farmer_Hours)))*Temp_Worker_Cost,"")</f>
        <v>1474.99198293669</v>
      </c>
      <c r="G101" s="23" t="n">
        <f aca="false">IF(A101&lt;=Mesclun_Bed_Cap,D101-E101-F101,"")</f>
        <v>345.008017063311</v>
      </c>
      <c r="H101" s="23" t="n">
        <f aca="false">IF(A101&lt;=Mesclun_Bed_Cap,IF(ISNUMBER(H100),H100,0)+G101,"")</f>
        <v>19985.1683583295</v>
      </c>
      <c r="I101" s="24" t="str">
        <f aca="false">IF(AND(AND(ISNUMBER(G101),G101&lt;0,ISNUMBER(G100),G100&gt;=0),(A101=Mesclun_Beds)),"&lt;- Cross-over &amp; Solver-selected",IF(AND(ISNUMBER(G101),G101&lt;0,ISNUMBER(G100),G100&gt;=0),"&lt;- Cross-over (next bed unprofitable)",IF((A101=Mesclun_Beds),"&lt;- Solver-selected","")))</f>
        <v/>
      </c>
      <c r="J101" s="23" t="n">
        <f aca="false">IF(ISNUMBER(E101),E101+F101,"")</f>
        <v>2354.99198293669</v>
      </c>
      <c r="K101" s="23" t="n">
        <f aca="false">IF(A101&lt;=Mesclun_Bed_Cap,IF(B101&gt;Farmer_Hours+Temp_Worker_Count*Temp_Worker_Hours_Each,"over labor cap",Mesclun_Fertilizer+(MIN(B101,Farmer_Hours)-MIN(N(B100),Farmer_Hours))*Farmer_Cost+(C101-(MIN(B101,Farmer_Hours)-MIN(N(B100),Farmer_Hours)))*Temp_Worker_Cost),"")</f>
        <v>2354.99198293669</v>
      </c>
      <c r="L101" s="23" t="n">
        <f aca="false">IF(A101&lt;=Mesclun_Bed_Cap,IF(B101&gt;Farmer_Hours+Temp_Worker_Count*Temp_Worker_Hours_Each,"over labor cap",(A101*Mesclun_Fertilizer+MIN(B101,Farmer_Hours)*Farmer_Cost+MAX(B101-Farmer_Hours,0)*Temp_Worker_Cost)/A101),"")</f>
        <v>2432.67255863109</v>
      </c>
      <c r="M101" s="23" t="n">
        <f aca="false">IF(ISNUMBER(L101),A101*(Mesclun_Price-L101)-Fixed_Costs,IF(A101&lt;=Mesclun_Bed_Cap,"over labor cap",""))</f>
        <v>-12514.8316416705</v>
      </c>
    </row>
    <row r="102" customFormat="false" ht="15" hidden="false" customHeight="true" outlineLevel="0" collapsed="false">
      <c r="A102" s="22" t="n">
        <f aca="false">ROW()-73</f>
        <v>29</v>
      </c>
      <c r="B102" s="18" t="n">
        <f aca="false">IF(A102&lt;=Mesclun_Bed_Cap,A102*Mesclun_Hours*Season*(1+Mesclun_Dim_Return)^A102,"")</f>
        <v>1870.96833067588</v>
      </c>
      <c r="C102" s="18" t="n">
        <f aca="false">IF(A102&lt;=Mesclun_Bed_Cap,B102-IF(ISNUMBER(B101),B101,0),"")</f>
        <v>86.8180281156533</v>
      </c>
      <c r="D102" s="23" t="n">
        <f aca="false">IF(A102&lt;=Mesclun_Bed_Cap,Mesclun_Price,"")</f>
        <v>2700</v>
      </c>
      <c r="E102" s="23" t="n">
        <f aca="false">IF(A102&lt;=Mesclun_Bed_Cap,Mesclun_Fertilizer,"")</f>
        <v>880</v>
      </c>
      <c r="F102" s="23" t="n">
        <f aca="false">IF(A102&lt;=Mesclun_Bed_Cap,MAX(0,MIN((Tomato_Beds*Tomato_Hours*Season*(1+Tomato_Dim_Return)^Tomato_Beds+Carrot_Beds*Carrrot_Hours*Season*(1+Carrot_Dim_Return)^Carrot_Beds)+B102,Farmer_Hours)-MIN((Tomato_Beds*Tomato_Hours*Season*(1+Tomato_Dim_Return)^Tomato_Beds+Carrot_Beds*Carrrot_Hours*Season*(1+Carrot_Dim_Return)^Carrot_Beds)+IF(ISNUMBER(B101),B101,0),Farmer_Hours))*Farmer_Cost+(C102-MAX(0,MIN((Tomato_Beds*Tomato_Hours*Season*(1+Tomato_Dim_Return)^Tomato_Beds+Carrot_Beds*Carrrot_Hours*Season*(1+Carrot_Dim_Return)^Carrot_Beds)+B102,Farmer_Hours)-MIN((Tomato_Beds*Tomato_Hours*Season*(1+Tomato_Dim_Return)^Tomato_Beds+Carrot_Beds*Carrrot_Hours*Season*(1+Carrot_Dim_Return)^Carrot_Beds)+IF(ISNUMBER(B101),B101,0),Farmer_Hours)))*Temp_Worker_Cost,"")</f>
        <v>1507.25743256343</v>
      </c>
      <c r="G102" s="23" t="n">
        <f aca="false">IF(A102&lt;=Mesclun_Bed_Cap,D102-E102-F102,"")</f>
        <v>312.742567436575</v>
      </c>
      <c r="H102" s="23" t="n">
        <f aca="false">IF(A102&lt;=Mesclun_Bed_Cap,IF(ISNUMBER(H101),H101,0)+G102,"")</f>
        <v>20297.910925766</v>
      </c>
      <c r="I102" s="24" t="str">
        <f aca="false">IF(AND(AND(ISNUMBER(G102),G102&lt;0,ISNUMBER(G101),G101&gt;=0),(A102=Mesclun_Beds)),"&lt;- Cross-over &amp; Solver-selected",IF(AND(ISNUMBER(G102),G102&lt;0,ISNUMBER(G101),G101&gt;=0),"&lt;- Cross-over (next bed unprofitable)",IF((A102=Mesclun_Beds),"&lt;- Solver-selected","")))</f>
        <v/>
      </c>
      <c r="J102" s="23" t="n">
        <f aca="false">IF(ISNUMBER(E102),E102+F102,"")</f>
        <v>2387.25743256343</v>
      </c>
      <c r="K102" s="23" t="n">
        <f aca="false">IF(A102&lt;=Mesclun_Bed_Cap,IF(B102&gt;Farmer_Hours+Temp_Worker_Count*Temp_Worker_Hours_Each,"over labor cap",Mesclun_Fertilizer+(MIN(B102,Farmer_Hours)-MIN(N(B101),Farmer_Hours))*Farmer_Cost+(C102-(MIN(B102,Farmer_Hours)-MIN(N(B101),Farmer_Hours)))*Temp_Worker_Cost),"")</f>
        <v>2387.25743256343</v>
      </c>
      <c r="L102" s="23" t="n">
        <f aca="false">IF(A102&lt;=Mesclun_Bed_Cap,IF(B102&gt;Farmer_Hours+Temp_Worker_Count*Temp_Worker_Hours_Each,"over labor cap",(A102*Mesclun_Fertilizer+MIN(B102,Farmer_Hours)*Farmer_Cost+MAX(B102-Farmer_Hours,0)*Temp_Worker_Cost)/A102),"")</f>
        <v>2431.10651980117</v>
      </c>
      <c r="M102" s="23" t="n">
        <f aca="false">IF(ISNUMBER(L102),A102*(Mesclun_Price-L102)-Fixed_Costs,IF(A102&lt;=Mesclun_Bed_Cap,"over labor cap",""))</f>
        <v>-12202.089074234</v>
      </c>
    </row>
    <row r="103" customFormat="false" ht="15" hidden="false" customHeight="true" outlineLevel="0" collapsed="false">
      <c r="A103" s="22" t="n">
        <f aca="false">ROW()-73</f>
        <v>30</v>
      </c>
      <c r="B103" s="18" t="n">
        <f aca="false">IF(A103&lt;=Mesclun_Bed_Cap,A103*Mesclun_Hours*Season*(1+Mesclun_Dim_Return)^A103,"")</f>
        <v>1959.67803600965</v>
      </c>
      <c r="C103" s="18" t="n">
        <f aca="false">IF(A103&lt;=Mesclun_Bed_Cap,B103-IF(ISNUMBER(B102),B102,0),"")</f>
        <v>88.70970533377</v>
      </c>
      <c r="D103" s="23" t="n">
        <f aca="false">IF(A103&lt;=Mesclun_Bed_Cap,Mesclun_Price,"")</f>
        <v>2700</v>
      </c>
      <c r="E103" s="23" t="n">
        <f aca="false">IF(A103&lt;=Mesclun_Bed_Cap,Mesclun_Fertilizer,"")</f>
        <v>880</v>
      </c>
      <c r="F103" s="23" t="n">
        <f aca="false">IF(A103&lt;=Mesclun_Bed_Cap,MAX(0,MIN((Tomato_Beds*Tomato_Hours*Season*(1+Tomato_Dim_Return)^Tomato_Beds+Carrot_Beds*Carrrot_Hours*Season*(1+Carrot_Dim_Return)^Carrot_Beds)+B103,Farmer_Hours)-MIN((Tomato_Beds*Tomato_Hours*Season*(1+Tomato_Dim_Return)^Tomato_Beds+Carrot_Beds*Carrrot_Hours*Season*(1+Carrot_Dim_Return)^Carrot_Beds)+IF(ISNUMBER(B102),B102,0),Farmer_Hours))*Farmer_Cost+(C103-MAX(0,MIN((Tomato_Beds*Tomato_Hours*Season*(1+Tomato_Dim_Return)^Tomato_Beds+Carrot_Beds*Carrrot_Hours*Season*(1+Carrot_Dim_Return)^Carrot_Beds)+B103,Farmer_Hours)-MIN((Tomato_Beds*Tomato_Hours*Season*(1+Tomato_Dim_Return)^Tomato_Beds+Carrot_Beds*Carrrot_Hours*Season*(1+Carrot_Dim_Return)^Carrot_Beds)+IF(ISNUMBER(B102),B102,0),Farmer_Hours)))*Temp_Worker_Cost,"")</f>
        <v>1540.09905093351</v>
      </c>
      <c r="G103" s="23" t="n">
        <f aca="false">IF(A103&lt;=Mesclun_Bed_Cap,D103-E103-F103,"")</f>
        <v>279.900949066493</v>
      </c>
      <c r="H103" s="23" t="n">
        <f aca="false">IF(A103&lt;=Mesclun_Bed_Cap,IF(ISNUMBER(H102),H102,0)+G103,"")</f>
        <v>20577.8118748325</v>
      </c>
      <c r="I103" s="24" t="str">
        <f aca="false">IF(AND(AND(ISNUMBER(G103),G103&lt;0,ISNUMBER(G102),G102&gt;=0),(A103=Mesclun_Beds)),"&lt;- Cross-over &amp; Solver-selected",IF(AND(ISNUMBER(G103),G103&lt;0,ISNUMBER(G102),G102&gt;=0),"&lt;- Cross-over (next bed unprofitable)",IF((A103=Mesclun_Beds),"&lt;- Solver-selected","")))</f>
        <v>&lt;- Solver-selected</v>
      </c>
      <c r="J103" s="23" t="n">
        <f aca="false">IF(ISNUMBER(E103),E103+F103,"")</f>
        <v>2420.09905093351</v>
      </c>
      <c r="K103" s="23" t="n">
        <f aca="false">IF(A103&lt;=Mesclun_Bed_Cap,IF(B103&gt;Farmer_Hours+Temp_Worker_Count*Temp_Worker_Hours_Each,"over labor cap",Mesclun_Fertilizer+(MIN(B103,Farmer_Hours)-MIN(N(B102),Farmer_Hours))*Farmer_Cost+(C103-(MIN(B103,Farmer_Hours)-MIN(N(B102),Farmer_Hours)))*Temp_Worker_Cost),"")</f>
        <v>2420.09905093351</v>
      </c>
      <c r="L103" s="23" t="n">
        <f aca="false">IF(A103&lt;=Mesclun_Bed_Cap,IF(B103&gt;Farmer_Hours+Temp_Worker_Count*Temp_Worker_Hours_Each,"over labor cap",(A103*Mesclun_Fertilizer+MIN(B103,Farmer_Hours)*Farmer_Cost+MAX(B103-Farmer_Hours,0)*Temp_Worker_Cost)/A103),"")</f>
        <v>2430.73960417225</v>
      </c>
      <c r="M103" s="23" t="n">
        <f aca="false">IF(ISNUMBER(L103),A103*(Mesclun_Price-L103)-Fixed_Costs,IF(A103&lt;=Mesclun_Bed_Cap,"over labor cap",""))</f>
        <v>-11922.1881251675</v>
      </c>
    </row>
  </sheetData>
  <mergeCells count="6">
    <mergeCell ref="A1:M1"/>
    <mergeCell ref="A2:M2"/>
    <mergeCell ref="A3:M3"/>
    <mergeCell ref="A4:M4"/>
    <mergeCell ref="A38:M38"/>
    <mergeCell ref="A72:M72"/>
  </mergeCells>
  <conditionalFormatting sqref="I6:I35">
    <cfRule type="expression" priority="2" aboveAverage="0" equalAverage="0" bottom="0" percent="0" rank="0" text="" dxfId="2">
      <formula>ISNUMBER(SEARCH("Cross-over",I6))</formula>
    </cfRule>
    <cfRule type="expression" priority="3" aboveAverage="0" equalAverage="0" bottom="0" percent="0" rank="0" text="" dxfId="3">
      <formula>ISNUMBER(SEARCH("Solver-selected",I6))</formula>
    </cfRule>
  </conditionalFormatting>
  <conditionalFormatting sqref="I40:I69">
    <cfRule type="expression" priority="4" aboveAverage="0" equalAverage="0" bottom="0" percent="0" rank="0" text="" dxfId="2">
      <formula>ISNUMBER(SEARCH("Cross-over",I40))</formula>
    </cfRule>
    <cfRule type="expression" priority="5" aboveAverage="0" equalAverage="0" bottom="0" percent="0" rank="0" text="" dxfId="3">
      <formula>ISNUMBER(SEARCH("Solver-selected",I40))</formula>
    </cfRule>
  </conditionalFormatting>
  <conditionalFormatting sqref="I74:I103">
    <cfRule type="expression" priority="6" aboveAverage="0" equalAverage="0" bottom="0" percent="0" rank="0" text="" dxfId="2">
      <formula>ISNUMBER(SEARCH("Cross-over",I74))</formula>
    </cfRule>
    <cfRule type="expression" priority="7" aboveAverage="0" equalAverage="0" bottom="0" percent="0" rank="0" text="" dxfId="3">
      <formula>ISNUMBER(SEARCH("Solver-selected",I74))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6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9" min="8" style="0" width="18"/>
  </cols>
  <sheetData>
    <row r="1" customFormat="false" ht="17.25" hidden="false" customHeight="true" outlineLevel="0" collapsed="false">
      <c r="A1" s="2" t="s">
        <v>68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4" t="s">
        <v>69</v>
      </c>
      <c r="B3" s="4"/>
      <c r="C3" s="4"/>
    </row>
    <row r="4" customFormat="false" ht="15" hidden="false" customHeight="true" outlineLevel="0" collapsed="false">
      <c r="A4" s="5" t="s">
        <v>3</v>
      </c>
      <c r="B4" s="5" t="s">
        <v>70</v>
      </c>
      <c r="C4" s="5" t="s">
        <v>71</v>
      </c>
    </row>
    <row r="5" customFormat="false" ht="15" hidden="false" customHeight="true" outlineLevel="0" collapsed="false">
      <c r="A5" s="6" t="s">
        <v>10</v>
      </c>
      <c r="B5" s="25" t="n">
        <v>10</v>
      </c>
      <c r="C5" s="26" t="n">
        <f aca="false">Tomato_Bed_Cap</f>
        <v>20</v>
      </c>
    </row>
    <row r="6" customFormat="false" ht="15" hidden="false" customHeight="true" outlineLevel="0" collapsed="false">
      <c r="A6" s="6" t="s">
        <v>12</v>
      </c>
      <c r="B6" s="25" t="n">
        <v>20</v>
      </c>
      <c r="C6" s="26" t="n">
        <f aca="false">Carrot_Bed_Cap</f>
        <v>20</v>
      </c>
    </row>
    <row r="7" customFormat="false" ht="15" hidden="false" customHeight="true" outlineLevel="0" collapsed="false">
      <c r="A7" s="6" t="s">
        <v>13</v>
      </c>
      <c r="B7" s="25" t="n">
        <v>30</v>
      </c>
      <c r="C7" s="26" t="n">
        <f aca="false">Mesclun_Bed_Cap</f>
        <v>30</v>
      </c>
    </row>
    <row r="8" customFormat="false" ht="15" hidden="false" customHeight="true" outlineLevel="0" collapsed="false">
      <c r="A8" s="6" t="s">
        <v>72</v>
      </c>
      <c r="B8" s="27" t="n">
        <f aca="false">SUM(B5:B7)</f>
        <v>60</v>
      </c>
      <c r="C8" s="26" t="n">
        <f aca="false">Beds_Available</f>
        <v>64</v>
      </c>
    </row>
    <row r="9" customFormat="false" ht="15" hidden="false" customHeight="true" outlineLevel="0" collapsed="false">
      <c r="A9" s="4" t="s">
        <v>73</v>
      </c>
      <c r="B9" s="4"/>
      <c r="C9" s="4"/>
      <c r="D9" s="4"/>
      <c r="E9" s="4"/>
      <c r="F9" s="4"/>
      <c r="G9" s="4"/>
    </row>
    <row r="10" customFormat="false" ht="39" hidden="false" customHeight="true" outlineLevel="0" collapsed="false">
      <c r="A10" s="5" t="s">
        <v>3</v>
      </c>
      <c r="B10" s="5" t="s">
        <v>74</v>
      </c>
      <c r="C10" s="5" t="s">
        <v>75</v>
      </c>
      <c r="D10" s="5" t="s">
        <v>76</v>
      </c>
      <c r="E10" s="5" t="s">
        <v>77</v>
      </c>
      <c r="F10" s="5" t="s">
        <v>78</v>
      </c>
      <c r="G10" s="5" t="s">
        <v>79</v>
      </c>
    </row>
    <row r="11" customFormat="false" ht="15" hidden="false" customHeight="true" outlineLevel="0" collapsed="false">
      <c r="A11" s="6" t="s">
        <v>10</v>
      </c>
      <c r="B11" s="26" t="n">
        <f aca="false">Tomato_Beds</f>
        <v>10</v>
      </c>
      <c r="C11" s="23" t="n">
        <f aca="false">Tomato_Beds*Tomato_Price</f>
        <v>88000</v>
      </c>
      <c r="D11" s="23" t="n">
        <f aca="false">Tomato_Beds*Tomato_Fertizer</f>
        <v>8800</v>
      </c>
      <c r="E11" s="18" t="n">
        <f aca="false">Tomato_Beds*Tomato_Hours*Season*(1+Tomato_Dim_Return)^Tomato_Beds</f>
        <v>2334.36821409</v>
      </c>
      <c r="F11" s="23" t="n">
        <f aca="false">E11*Blended_Labor_Rate</f>
        <v>46056.5811984008</v>
      </c>
      <c r="G11" s="23" t="n">
        <f aca="false">C11-D11-F11</f>
        <v>33143.4188015992</v>
      </c>
    </row>
    <row r="12" customFormat="false" ht="15" hidden="false" customHeight="true" outlineLevel="0" collapsed="false">
      <c r="A12" s="6" t="s">
        <v>12</v>
      </c>
      <c r="B12" s="26" t="n">
        <f aca="false">Carrot_Beds</f>
        <v>20</v>
      </c>
      <c r="C12" s="23" t="n">
        <f aca="false">Carrot_Beds*Carrot_Price</f>
        <v>41880</v>
      </c>
      <c r="D12" s="23" t="n">
        <f aca="false">Carrot_Beds*Carrot_Fertilizer</f>
        <v>8800</v>
      </c>
      <c r="E12" s="18" t="n">
        <f aca="false">Carrot_Beds*Carrrot_Hours*Season*(1+Carrot_Dim_Return)^Carrot_Beds</f>
        <v>983.169864174237</v>
      </c>
      <c r="F12" s="23" t="n">
        <f aca="false">E12*Blended_Labor_Rate</f>
        <v>19397.7292904553</v>
      </c>
      <c r="G12" s="23" t="n">
        <f aca="false">C12-D12-F12</f>
        <v>13682.2707095447</v>
      </c>
    </row>
    <row r="13" customFormat="false" ht="15" hidden="false" customHeight="true" outlineLevel="0" collapsed="false">
      <c r="A13" s="6" t="s">
        <v>13</v>
      </c>
      <c r="B13" s="26" t="n">
        <f aca="false">Mesclun_Beds</f>
        <v>30</v>
      </c>
      <c r="C13" s="23" t="n">
        <f aca="false">Mesclun_Beds*Mesclun_Price</f>
        <v>81000</v>
      </c>
      <c r="D13" s="23" t="n">
        <f aca="false">Mesclun_Beds*Mesclun_Fertilizer</f>
        <v>26400</v>
      </c>
      <c r="E13" s="18" t="n">
        <f aca="false">Mesclun_Beds*Mesclun_Hours*Season*(1+Mesclun_Dim_Return)^Mesclun_Beds</f>
        <v>1959.67803600965</v>
      </c>
      <c r="F13" s="23" t="n">
        <f aca="false">E13*Blended_Labor_Rate</f>
        <v>38664.0248283989</v>
      </c>
      <c r="G13" s="23" t="n">
        <f aca="false">C13-D13-F13</f>
        <v>15935.9751716011</v>
      </c>
    </row>
    <row r="14" customFormat="false" ht="15" hidden="false" customHeight="true" outlineLevel="0" collapsed="false">
      <c r="A14" s="6" t="s">
        <v>80</v>
      </c>
      <c r="B14" s="27" t="n">
        <f aca="false">SUM(B11:B13)</f>
        <v>60</v>
      </c>
      <c r="C14" s="28" t="n">
        <f aca="false">SUM(C11:C13)</f>
        <v>210880</v>
      </c>
      <c r="D14" s="28" t="n">
        <f aca="false">SUM(D11:D13)</f>
        <v>44000</v>
      </c>
      <c r="E14" s="29" t="n">
        <f aca="false">SUM(E11:E13)</f>
        <v>5277.21611427389</v>
      </c>
      <c r="F14" s="28" t="n">
        <f aca="false">SUM(F11:F13)</f>
        <v>104118.335317255</v>
      </c>
      <c r="G14" s="28" t="n">
        <f aca="false">SUM(G11:G13)</f>
        <v>62761.664682745</v>
      </c>
    </row>
    <row r="16" customFormat="false" ht="15" hidden="false" customHeight="true" outlineLevel="0" collapsed="false">
      <c r="A16" s="30" t="s">
        <v>81</v>
      </c>
      <c r="B16" s="30"/>
      <c r="C16" s="30"/>
    </row>
    <row r="17" customFormat="false" ht="15" hidden="false" customHeight="true" outlineLevel="0" collapsed="false">
      <c r="A17" s="6" t="s">
        <v>82</v>
      </c>
      <c r="B17" s="18" t="n">
        <f aca="false">E14</f>
        <v>5277.21611427389</v>
      </c>
      <c r="C17" s="17"/>
    </row>
    <row r="18" customFormat="false" ht="15" hidden="false" customHeight="true" outlineLevel="0" collapsed="false">
      <c r="A18" s="6" t="s">
        <v>83</v>
      </c>
      <c r="B18" s="18" t="n">
        <f aca="false">MIN(B17,Farmer_Hours)</f>
        <v>720</v>
      </c>
      <c r="C18" s="17"/>
    </row>
    <row r="19" customFormat="false" ht="15" hidden="false" customHeight="true" outlineLevel="0" collapsed="false">
      <c r="A19" s="6" t="s">
        <v>84</v>
      </c>
      <c r="B19" s="18" t="n">
        <f aca="false">MIN(MAX(B17-Farmer_Hours,0),Temp_Worker_Count*Temp_Worker_Hours_Each)</f>
        <v>4557.21611427389</v>
      </c>
      <c r="C19" s="17"/>
    </row>
    <row r="20" customFormat="false" ht="15" hidden="false" customHeight="true" outlineLevel="0" collapsed="false">
      <c r="A20" s="6" t="s">
        <v>85</v>
      </c>
      <c r="B20" s="23" t="n">
        <f aca="false">B18*Farmer_Cost+B19*Temp_Worker_Cost</f>
        <v>104118.335317255</v>
      </c>
      <c r="C20" s="17"/>
    </row>
    <row r="21" customFormat="false" ht="15" hidden="false" customHeight="true" outlineLevel="0" collapsed="false">
      <c r="A21" s="6" t="s">
        <v>86</v>
      </c>
      <c r="B21" s="31" t="n">
        <f aca="false">IFERROR(B20/B17,0)</f>
        <v>19.7297842390108</v>
      </c>
      <c r="C21" s="17"/>
    </row>
    <row r="22" customFormat="false" ht="15" hidden="false" customHeight="true" outlineLevel="0" collapsed="false">
      <c r="A22" s="6" t="s">
        <v>87</v>
      </c>
      <c r="B22" s="23" t="n">
        <f aca="false">Fixed_Costs</f>
        <v>20000</v>
      </c>
      <c r="C22" s="17"/>
    </row>
    <row r="23" customFormat="false" ht="15" hidden="false" customHeight="true" outlineLevel="0" collapsed="false">
      <c r="A23" s="6" t="s">
        <v>88</v>
      </c>
      <c r="B23" s="28" t="n">
        <f aca="false">G14-Fixed_Costs</f>
        <v>42761.664682745</v>
      </c>
      <c r="C23" s="17"/>
    </row>
    <row r="25" customFormat="false" ht="15" hidden="false" customHeight="true" outlineLevel="0" collapsed="false">
      <c r="A25" s="4" t="s">
        <v>89</v>
      </c>
      <c r="B25" s="4"/>
      <c r="C25" s="4"/>
      <c r="D25" s="4"/>
      <c r="E25" s="4"/>
      <c r="F25" s="4"/>
      <c r="G25" s="4"/>
    </row>
    <row r="26" customFormat="false" ht="15" hidden="false" customHeight="true" outlineLevel="0" collapsed="false">
      <c r="A26" s="32" t="s">
        <v>90</v>
      </c>
      <c r="B26" s="33" t="s">
        <v>91</v>
      </c>
      <c r="C26" s="33"/>
      <c r="D26" s="33"/>
      <c r="E26" s="33"/>
      <c r="F26" s="33"/>
      <c r="G26" s="33"/>
    </row>
    <row r="27" customFormat="false" ht="15" hidden="false" customHeight="true" outlineLevel="0" collapsed="false">
      <c r="A27" s="32" t="s">
        <v>92</v>
      </c>
      <c r="B27" s="33" t="s">
        <v>93</v>
      </c>
      <c r="C27" s="33"/>
      <c r="D27" s="33"/>
      <c r="E27" s="33"/>
      <c r="F27" s="33"/>
      <c r="G27" s="33"/>
    </row>
    <row r="28" customFormat="false" ht="15" hidden="false" customHeight="true" outlineLevel="0" collapsed="false">
      <c r="A28" s="32" t="s">
        <v>94</v>
      </c>
      <c r="B28" s="33" t="s">
        <v>95</v>
      </c>
      <c r="C28" s="33"/>
      <c r="D28" s="33"/>
      <c r="E28" s="33"/>
      <c r="F28" s="33"/>
      <c r="G28" s="33"/>
    </row>
    <row r="29" customFormat="false" ht="15" hidden="false" customHeight="true" outlineLevel="0" collapsed="false">
      <c r="A29" s="32" t="s">
        <v>96</v>
      </c>
      <c r="B29" s="33" t="s">
        <v>97</v>
      </c>
      <c r="C29" s="33"/>
      <c r="D29" s="33"/>
      <c r="E29" s="33"/>
      <c r="F29" s="33"/>
      <c r="G29" s="33"/>
    </row>
    <row r="30" customFormat="false" ht="15" hidden="false" customHeight="true" outlineLevel="0" collapsed="false">
      <c r="B30" s="33" t="s">
        <v>98</v>
      </c>
      <c r="C30" s="33"/>
      <c r="D30" s="33"/>
      <c r="E30" s="33"/>
      <c r="F30" s="33"/>
      <c r="G30" s="33"/>
    </row>
    <row r="31" customFormat="false" ht="15" hidden="false" customHeight="true" outlineLevel="0" collapsed="false">
      <c r="B31" s="33" t="s">
        <v>99</v>
      </c>
      <c r="C31" s="33"/>
      <c r="D31" s="33"/>
      <c r="E31" s="33"/>
      <c r="F31" s="33"/>
      <c r="G31" s="33"/>
    </row>
    <row r="32" customFormat="false" ht="15" hidden="false" customHeight="true" outlineLevel="0" collapsed="false">
      <c r="B32" s="33" t="s">
        <v>100</v>
      </c>
      <c r="C32" s="33"/>
      <c r="D32" s="33"/>
      <c r="E32" s="33"/>
      <c r="F32" s="33"/>
      <c r="G32" s="33"/>
    </row>
    <row r="33" customFormat="false" ht="15" hidden="false" customHeight="true" outlineLevel="0" collapsed="false">
      <c r="B33" s="33" t="s">
        <v>101</v>
      </c>
      <c r="C33" s="33"/>
      <c r="D33" s="33"/>
      <c r="E33" s="33"/>
      <c r="F33" s="33"/>
      <c r="G33" s="33"/>
    </row>
    <row r="34" customFormat="false" ht="15" hidden="false" customHeight="true" outlineLevel="0" collapsed="false">
      <c r="B34" s="33" t="s">
        <v>102</v>
      </c>
      <c r="C34" s="33"/>
      <c r="D34" s="33"/>
      <c r="E34" s="33"/>
      <c r="F34" s="33"/>
      <c r="G34" s="33"/>
    </row>
    <row r="35" customFormat="false" ht="15" hidden="false" customHeight="true" outlineLevel="0" collapsed="false">
      <c r="B35" s="33" t="s">
        <v>103</v>
      </c>
      <c r="C35" s="33"/>
      <c r="D35" s="33"/>
      <c r="E35" s="33"/>
      <c r="F35" s="33"/>
      <c r="G35" s="33"/>
    </row>
    <row r="36" customFormat="false" ht="15" hidden="false" customHeight="true" outlineLevel="0" collapsed="false">
      <c r="A36" s="32" t="s">
        <v>104</v>
      </c>
      <c r="B36" s="33" t="s">
        <v>105</v>
      </c>
      <c r="C36" s="33"/>
      <c r="D36" s="33"/>
      <c r="E36" s="33"/>
      <c r="F36" s="33"/>
      <c r="G36" s="33"/>
    </row>
    <row r="37" customFormat="false" ht="15" hidden="false" customHeight="true" outlineLevel="0" collapsed="false">
      <c r="A37" s="32" t="s">
        <v>106</v>
      </c>
      <c r="B37" s="33" t="s">
        <v>107</v>
      </c>
      <c r="C37" s="33"/>
      <c r="D37" s="33"/>
      <c r="E37" s="33"/>
      <c r="F37" s="33"/>
      <c r="G37" s="33"/>
    </row>
    <row r="39" customFormat="false" ht="15" hidden="false" customHeight="true" outlineLevel="0" collapsed="false">
      <c r="A39" s="34" t="s">
        <v>108</v>
      </c>
      <c r="B39" s="34"/>
      <c r="C39" s="34"/>
      <c r="D39" s="34"/>
      <c r="E39" s="34"/>
      <c r="F39" s="34"/>
    </row>
    <row r="40" customFormat="false" ht="15" hidden="false" customHeight="false" outlineLevel="0" collapsed="false">
      <c r="A40" s="5" t="s">
        <v>109</v>
      </c>
      <c r="B40" s="5" t="s">
        <v>110</v>
      </c>
      <c r="C40" s="5" t="s">
        <v>111</v>
      </c>
      <c r="D40" s="5" t="s">
        <v>112</v>
      </c>
      <c r="E40" s="5" t="s">
        <v>113</v>
      </c>
      <c r="F40" s="5" t="s">
        <v>40</v>
      </c>
    </row>
    <row r="41" customFormat="false" ht="15" hidden="false" customHeight="false" outlineLevel="0" collapsed="false">
      <c r="A41" s="35" t="s">
        <v>114</v>
      </c>
      <c r="B41" s="36" t="n">
        <v>10</v>
      </c>
      <c r="C41" s="36" t="n">
        <f aca="false">Tomato_Beds</f>
        <v>10</v>
      </c>
      <c r="D41" s="36" t="n">
        <f aca="false">C41-B41</f>
        <v>0</v>
      </c>
      <c r="E41" s="37" t="n">
        <v>0</v>
      </c>
      <c r="F41" s="38" t="str">
        <f aca="false">IF(ABS(D41)&lt;=E41,"OK","CHECK")</f>
        <v>OK</v>
      </c>
    </row>
    <row r="42" customFormat="false" ht="15" hidden="false" customHeight="false" outlineLevel="0" collapsed="false">
      <c r="A42" s="35" t="s">
        <v>115</v>
      </c>
      <c r="B42" s="36" t="n">
        <v>20</v>
      </c>
      <c r="C42" s="36" t="n">
        <f aca="false">Carrot_Beds</f>
        <v>20</v>
      </c>
      <c r="D42" s="36" t="n">
        <f aca="false">C42-B42</f>
        <v>0</v>
      </c>
      <c r="E42" s="37" t="n">
        <v>0</v>
      </c>
      <c r="F42" s="38" t="str">
        <f aca="false">IF(ABS(D42)&lt;=E42,"OK","CHECK")</f>
        <v>OK</v>
      </c>
    </row>
    <row r="43" customFormat="false" ht="15" hidden="false" customHeight="false" outlineLevel="0" collapsed="false">
      <c r="A43" s="35" t="s">
        <v>116</v>
      </c>
      <c r="B43" s="36" t="n">
        <v>30</v>
      </c>
      <c r="C43" s="36" t="n">
        <f aca="false">Mesclun_Beds</f>
        <v>30</v>
      </c>
      <c r="D43" s="36" t="n">
        <f aca="false">C43-B43</f>
        <v>0</v>
      </c>
      <c r="E43" s="37" t="n">
        <v>0</v>
      </c>
      <c r="F43" s="38" t="str">
        <f aca="false">IF(ABS(D43)&lt;=E43,"OK","CHECK")</f>
        <v>OK</v>
      </c>
    </row>
    <row r="44" customFormat="false" ht="15" hidden="false" customHeight="false" outlineLevel="0" collapsed="false">
      <c r="A44" s="35" t="s">
        <v>88</v>
      </c>
      <c r="B44" s="39" t="n">
        <v>42761.66</v>
      </c>
      <c r="C44" s="39" t="n">
        <f aca="false">Total_Farm_Profit</f>
        <v>42761.664682745</v>
      </c>
      <c r="D44" s="39" t="n">
        <f aca="false">C44-B44</f>
        <v>0.00468274503509747</v>
      </c>
      <c r="E44" s="39" t="n">
        <v>0.01</v>
      </c>
      <c r="F44" s="38" t="str">
        <f aca="false">IF(ABS(D44)&lt;=E44,"OK","CHECK")</f>
        <v>OK</v>
      </c>
    </row>
    <row r="45" customFormat="false" ht="28.35" hidden="false" customHeight="false" outlineLevel="0" collapsed="false">
      <c r="A45" s="35" t="s">
        <v>117</v>
      </c>
      <c r="B45" s="39" t="n">
        <v>551.41</v>
      </c>
      <c r="C45" s="39" t="n">
        <f aca="false">'Marginal Analysis'!G15</f>
        <v>551.413465624995</v>
      </c>
      <c r="D45" s="39" t="n">
        <f aca="false">C45-B45</f>
        <v>0.00346562499532865</v>
      </c>
      <c r="E45" s="39" t="n">
        <v>0.01</v>
      </c>
      <c r="F45" s="38" t="str">
        <f aca="false">IF(ABS(D45)&lt;=E45,"OK","CHECK")</f>
        <v>OK</v>
      </c>
    </row>
    <row r="46" customFormat="false" ht="28.35" hidden="false" customHeight="false" outlineLevel="0" collapsed="false">
      <c r="A46" s="35" t="s">
        <v>118</v>
      </c>
      <c r="B46" s="39" t="n">
        <v>-590.72</v>
      </c>
      <c r="C46" s="39" t="n">
        <f aca="false">'Marginal Analysis'!G16</f>
        <v>-590.717447203133</v>
      </c>
      <c r="D46" s="39" t="n">
        <f aca="false">C46-B46</f>
        <v>0.00255279686712129</v>
      </c>
      <c r="E46" s="39" t="n">
        <v>0.01</v>
      </c>
      <c r="F46" s="38" t="str">
        <f aca="false">IF(ABS(D46)&lt;=E46,"OK","CHECK")</f>
        <v>OK</v>
      </c>
    </row>
    <row r="48" customFormat="false" ht="15" hidden="false" customHeight="false" outlineLevel="0" collapsed="false">
      <c r="A48" s="40" t="s">
        <v>119</v>
      </c>
      <c r="B48" s="41" t="n">
        <f aca="false">COUNTIF(F41:F46,"CHECK")</f>
        <v>0</v>
      </c>
      <c r="C48" s="42"/>
      <c r="D48" s="42"/>
      <c r="E48" s="42"/>
      <c r="F48" s="42"/>
    </row>
    <row r="50" customFormat="false" ht="15" hidden="false" customHeight="false" outlineLevel="0" collapsed="false">
      <c r="A50" s="4" t="s">
        <v>120</v>
      </c>
      <c r="B50" s="4"/>
      <c r="C50" s="4"/>
      <c r="D50" s="4"/>
      <c r="E50" s="4"/>
      <c r="F50" s="4"/>
      <c r="G50" s="4"/>
      <c r="H50" s="4"/>
    </row>
    <row r="51" customFormat="false" ht="45" hidden="false" customHeight="true" outlineLevel="0" collapsed="false">
      <c r="A51" s="5" t="s">
        <v>3</v>
      </c>
      <c r="B51" s="5" t="s">
        <v>70</v>
      </c>
      <c r="C51" s="5" t="s">
        <v>121</v>
      </c>
      <c r="D51" s="5" t="s">
        <v>122</v>
      </c>
      <c r="E51" s="5" t="s">
        <v>123</v>
      </c>
      <c r="F51" s="5" t="s">
        <v>124</v>
      </c>
      <c r="G51" s="5" t="s">
        <v>125</v>
      </c>
      <c r="H51" s="5" t="s">
        <v>126</v>
      </c>
    </row>
    <row r="52" customFormat="false" ht="15" hidden="false" customHeight="false" outlineLevel="0" collapsed="false">
      <c r="A52" s="6" t="s">
        <v>10</v>
      </c>
      <c r="B52" s="26" t="n">
        <f aca="false">Tomato_Beds</f>
        <v>10</v>
      </c>
      <c r="C52" s="26" t="n">
        <f aca="false">Tomato_Bed_Cap</f>
        <v>20</v>
      </c>
      <c r="D52" s="26" t="n">
        <f aca="false">C52-B52</f>
        <v>10</v>
      </c>
      <c r="E52" s="18" t="n">
        <f aca="false">(Tomato_Beds+1)*Tomato_Hours*Season*(1+Tomato_Dim_Return)^(Tomato_Beds+1)-E11</f>
        <v>490.2173249589</v>
      </c>
      <c r="F52" s="23" t="n">
        <f aca="false">Tomato_Fertizer+(MIN(Total_Labor_Hours+E52,Farmer_Hours)-MIN(Total_Labor_Hours,Farmer_Hours))*Farmer_Cost+(E52-(MIN(Total_Labor_Hours+E52,Farmer_Hours)-MIN(Total_Labor_Hours,Farmer_Hours)))*Temp_Worker_Cost</f>
        <v>9390.71744720313</v>
      </c>
      <c r="G52" s="23" t="n">
        <f aca="false">Tomato_Price-F52</f>
        <v>-590.717447203133</v>
      </c>
      <c r="H52" s="23" t="n">
        <f aca="false">IF(D52=0,MAX(0,G52),0)</f>
        <v>0</v>
      </c>
    </row>
    <row r="53" customFormat="false" ht="15" hidden="false" customHeight="false" outlineLevel="0" collapsed="false">
      <c r="A53" s="6" t="s">
        <v>12</v>
      </c>
      <c r="B53" s="26" t="n">
        <f aca="false">Carrot_Beds</f>
        <v>20</v>
      </c>
      <c r="C53" s="26" t="n">
        <f aca="false">Carrot_Bed_Cap</f>
        <v>20</v>
      </c>
      <c r="D53" s="26" t="n">
        <f aca="false">C53-B53</f>
        <v>0</v>
      </c>
      <c r="E53" s="18" t="n">
        <f aca="false">(Carrot_Beds+1)*Carrrot_Hours*Season*(1+Carrot_Dim_Return)^(Carrot_Beds+1)-E12</f>
        <v>74.9667021432855</v>
      </c>
      <c r="F53" s="23" t="n">
        <f aca="false">Carrot_Fertilizer+(MIN(Total_Labor_Hours+E53,Farmer_Hours)-MIN(Total_Labor_Hours,Farmer_Hours))*Farmer_Cost+(E53-(MIN(Total_Labor_Hours+E53,Farmer_Hours)-MIN(Total_Labor_Hours,Farmer_Hours)))*Temp_Worker_Cost</f>
        <v>1741.50524554315</v>
      </c>
      <c r="G53" s="23" t="n">
        <f aca="false">Carrot_Price-F53</f>
        <v>352.494754456849</v>
      </c>
      <c r="H53" s="23" t="n">
        <f aca="false">IF(D53=0,MAX(0,G53),0)</f>
        <v>352.494754456849</v>
      </c>
    </row>
    <row r="54" customFormat="false" ht="15" hidden="false" customHeight="false" outlineLevel="0" collapsed="false">
      <c r="A54" s="6" t="s">
        <v>13</v>
      </c>
      <c r="B54" s="26" t="n">
        <f aca="false">Mesclun_Beds</f>
        <v>30</v>
      </c>
      <c r="C54" s="26" t="n">
        <f aca="false">Mesclun_Bed_Cap</f>
        <v>30</v>
      </c>
      <c r="D54" s="26" t="n">
        <f aca="false">C54-B54</f>
        <v>0</v>
      </c>
      <c r="E54" s="18" t="n">
        <f aca="false">(Mesclun_Beds+1)*Mesclun_Hours*Season*(1+Mesclun_Dim_Return)^(Mesclun_Beds+1)-E13</f>
        <v>90.6351091654462</v>
      </c>
      <c r="F54" s="23" t="n">
        <f aca="false">Mesclun_Fertilizer+(MIN(Total_Labor_Hours+E54,Farmer_Hours)-MIN(Total_Labor_Hours,Farmer_Hours))*Farmer_Cost+(E54-(MIN(Total_Labor_Hours+E54,Farmer_Hours)-MIN(Total_Labor_Hours,Farmer_Hours)))*Temp_Worker_Cost</f>
        <v>2453.526200789</v>
      </c>
      <c r="G54" s="23" t="n">
        <f aca="false">Mesclun_Price-F54</f>
        <v>246.473799211003</v>
      </c>
      <c r="H54" s="23" t="n">
        <f aca="false">IF(D54=0,MAX(0,G54),0)</f>
        <v>246.473799211003</v>
      </c>
    </row>
    <row r="55" customFormat="false" ht="45" hidden="false" customHeight="true" outlineLevel="0" collapsed="false">
      <c r="A55" s="21" t="s">
        <v>127</v>
      </c>
      <c r="B55" s="21"/>
      <c r="C55" s="21"/>
      <c r="D55" s="21"/>
      <c r="E55" s="21"/>
      <c r="F55" s="21"/>
      <c r="G55" s="21"/>
      <c r="H55" s="21"/>
    </row>
    <row r="57" customFormat="false" ht="15" hidden="false" customHeight="false" outlineLevel="0" collapsed="false">
      <c r="A57" s="4" t="s">
        <v>128</v>
      </c>
      <c r="B57" s="4"/>
      <c r="C57" s="4"/>
      <c r="D57" s="4"/>
      <c r="E57" s="4"/>
      <c r="F57" s="4"/>
      <c r="G57" s="4"/>
      <c r="H57" s="4"/>
    </row>
    <row r="58" customFormat="false" ht="45" hidden="false" customHeight="true" outlineLevel="0" collapsed="false">
      <c r="A58" s="5" t="s">
        <v>37</v>
      </c>
      <c r="B58" s="5" t="s">
        <v>129</v>
      </c>
      <c r="C58" s="5" t="s">
        <v>130</v>
      </c>
      <c r="D58" s="5" t="s">
        <v>131</v>
      </c>
      <c r="E58" s="5" t="s">
        <v>132</v>
      </c>
    </row>
    <row r="59" customFormat="false" ht="15" hidden="false" customHeight="false" outlineLevel="0" collapsed="false">
      <c r="A59" s="6" t="s">
        <v>133</v>
      </c>
      <c r="B59" s="26" t="n">
        <f aca="false">Total_Beds</f>
        <v>60</v>
      </c>
      <c r="C59" s="26" t="n">
        <f aca="false">Beds_Available</f>
        <v>64</v>
      </c>
      <c r="D59" s="26" t="n">
        <f aca="false">C59-B59</f>
        <v>4</v>
      </c>
      <c r="E59" s="38" t="str">
        <f aca="false">IF(D59&gt;0,"Slack","Binding")</f>
        <v>Slack</v>
      </c>
    </row>
    <row r="60" customFormat="false" ht="15" hidden="false" customHeight="false" outlineLevel="0" collapsed="false">
      <c r="A60" s="6" t="s">
        <v>134</v>
      </c>
      <c r="B60" s="18" t="n">
        <f aca="false">Total_Labor_Hours</f>
        <v>5277.21611427389</v>
      </c>
      <c r="C60" s="18" t="n">
        <f aca="false">Farmer_Hours+Temp_Worker_Count*Temp_Worker_Hours_Each</f>
        <v>6480</v>
      </c>
      <c r="D60" s="18" t="n">
        <f aca="false">C60-B60</f>
        <v>1202.78388572612</v>
      </c>
      <c r="E60" s="38" t="str">
        <f aca="false">IF(D60&gt;0,"Slack","Binding")</f>
        <v>Slack</v>
      </c>
    </row>
    <row r="61" customFormat="false" ht="15" hidden="false" customHeight="false" outlineLevel="0" collapsed="false">
      <c r="A61" s="6" t="s">
        <v>135</v>
      </c>
      <c r="B61" s="43" t="n">
        <f aca="false">B19/Temp_Worker_Hours_Each</f>
        <v>3.1647334126902</v>
      </c>
      <c r="C61" s="43" t="n">
        <f aca="false">Temp_Worker_Count</f>
        <v>4</v>
      </c>
      <c r="D61" s="43" t="n">
        <f aca="false">C61-B61</f>
        <v>0.835266587309802</v>
      </c>
      <c r="E61" s="38" t="str">
        <f aca="false">IF(D61&gt;0,"Slack","Binding")</f>
        <v>Slack</v>
      </c>
    </row>
    <row r="63" customFormat="false" ht="15" hidden="false" customHeight="false" outlineLevel="0" collapsed="false">
      <c r="A63" s="4" t="s">
        <v>136</v>
      </c>
      <c r="B63" s="4"/>
      <c r="C63" s="4"/>
      <c r="D63" s="4"/>
      <c r="E63" s="4"/>
      <c r="F63" s="4"/>
      <c r="G63" s="4"/>
      <c r="H63" s="4"/>
    </row>
    <row r="64" customFormat="false" ht="45" hidden="false" customHeight="true" outlineLevel="0" collapsed="false">
      <c r="A64" s="5" t="s">
        <v>3</v>
      </c>
      <c r="B64" s="5" t="s">
        <v>70</v>
      </c>
      <c r="C64" s="5" t="s">
        <v>5</v>
      </c>
      <c r="D64" s="5" t="s">
        <v>137</v>
      </c>
      <c r="E64" s="5" t="s">
        <v>138</v>
      </c>
      <c r="F64" s="5" t="s">
        <v>67</v>
      </c>
      <c r="G64" s="5" t="s">
        <v>139</v>
      </c>
      <c r="H64" s="5" t="s">
        <v>140</v>
      </c>
    </row>
    <row r="65" customFormat="false" ht="15" hidden="false" customHeight="false" outlineLevel="0" collapsed="false">
      <c r="A65" s="6" t="s">
        <v>10</v>
      </c>
      <c r="B65" s="26" t="n">
        <f aca="false">Tomato_Beds</f>
        <v>10</v>
      </c>
      <c r="C65" s="23" t="n">
        <f aca="false">Tomato_Price</f>
        <v>8800</v>
      </c>
      <c r="D65" s="23" t="n">
        <f aca="false">IFERROR((B65*Tomato_Fertizer+MIN(E11,Farmer_Hours)*Farmer_Cost+MAX(E11-Farmer_Hours,0)*Temp_Worker_Cost)/B65,0)</f>
        <v>6182.72259390625</v>
      </c>
      <c r="E65" s="23" t="n">
        <f aca="false">IFERROR((D11+F11)/B65,0)</f>
        <v>5485.65811984008</v>
      </c>
      <c r="F65" s="23" t="n">
        <f aca="false">B65*(C65-D65)-Fixed_Costs</f>
        <v>6172.77406093746</v>
      </c>
      <c r="G65" s="23" t="n">
        <f aca="false">G11</f>
        <v>33143.4188015992</v>
      </c>
      <c r="H65" s="38" t="str">
        <f aca="false">IF(AND(C65&gt;D65,C65&gt;E65),"Yes","No")</f>
        <v>Yes</v>
      </c>
    </row>
    <row r="66" customFormat="false" ht="15" hidden="false" customHeight="false" outlineLevel="0" collapsed="false">
      <c r="A66" s="6" t="s">
        <v>12</v>
      </c>
      <c r="B66" s="26" t="n">
        <f aca="false">Carrot_Beds</f>
        <v>20</v>
      </c>
      <c r="C66" s="23" t="n">
        <f aca="false">Carrot_Price</f>
        <v>2094</v>
      </c>
      <c r="D66" s="23" t="n">
        <f aca="false">IFERROR((B66*Carrot_Fertilizer+MIN(E12,Farmer_Hours)*Farmer_Cost+MAX(E12-Farmer_Hours,0)*Temp_Worker_Cost)/B66,0)</f>
        <v>1918.44606265125</v>
      </c>
      <c r="E66" s="23" t="n">
        <f aca="false">IFERROR((D12+F12)/B66,0)</f>
        <v>1409.88646452276</v>
      </c>
      <c r="F66" s="23" t="n">
        <f aca="false">B66*(C66-D66)-Fixed_Costs</f>
        <v>-16488.9212530249</v>
      </c>
      <c r="G66" s="23" t="n">
        <f aca="false">G12</f>
        <v>13682.2707095447</v>
      </c>
      <c r="H66" s="38" t="str">
        <f aca="false">IF(AND(C66&gt;D66,C66&gt;E66),"Yes","No")</f>
        <v>Yes</v>
      </c>
    </row>
    <row r="67" customFormat="false" ht="15" hidden="false" customHeight="false" outlineLevel="0" collapsed="false">
      <c r="A67" s="6" t="s">
        <v>13</v>
      </c>
      <c r="B67" s="26" t="n">
        <f aca="false">Mesclun_Beds</f>
        <v>30</v>
      </c>
      <c r="C67" s="23" t="n">
        <f aca="false">Mesclun_Price</f>
        <v>2700</v>
      </c>
      <c r="D67" s="23" t="n">
        <f aca="false">IFERROR((B67*Mesclun_Fertilizer+MIN(E13,Farmer_Hours)*Farmer_Cost+MAX(E13-Farmer_Hours,0)*Temp_Worker_Cost)/B67,0)</f>
        <v>2430.73960417225</v>
      </c>
      <c r="E67" s="23" t="n">
        <f aca="false">IFERROR((D13+F13)/B67,0)</f>
        <v>2168.8008276133</v>
      </c>
      <c r="F67" s="23" t="n">
        <f aca="false">B67*(C67-D67)-Fixed_Costs</f>
        <v>-11922.1881251675</v>
      </c>
      <c r="G67" s="23" t="n">
        <f aca="false">G13</f>
        <v>15935.9751716011</v>
      </c>
      <c r="H67" s="38" t="str">
        <f aca="false">IF(AND(C67&gt;D67,C67&gt;E67),"Yes","No")</f>
        <v>Yes</v>
      </c>
    </row>
    <row r="68" customFormat="false" ht="45" hidden="false" customHeight="true" outlineLevel="0" collapsed="false">
      <c r="A68" s="21" t="s">
        <v>141</v>
      </c>
      <c r="B68" s="21"/>
      <c r="C68" s="21"/>
      <c r="D68" s="21"/>
      <c r="E68" s="21"/>
      <c r="F68" s="21"/>
      <c r="G68" s="21"/>
      <c r="H68" s="21"/>
    </row>
  </sheetData>
  <mergeCells count="23">
    <mergeCell ref="A1:G1"/>
    <mergeCell ref="A3:C3"/>
    <mergeCell ref="A9:G9"/>
    <mergeCell ref="A16:C16"/>
    <mergeCell ref="A25:G25"/>
    <mergeCell ref="B26:G26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  <mergeCell ref="B36:G36"/>
    <mergeCell ref="B37:G37"/>
    <mergeCell ref="A39:F39"/>
    <mergeCell ref="A50:H50"/>
    <mergeCell ref="A55:H55"/>
    <mergeCell ref="A57:H57"/>
    <mergeCell ref="A63:H63"/>
    <mergeCell ref="A68:H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2026-09-09T03:33:56Z</dcterms:created>
  <dc:creator>openpyxl</dc:creator>
  <dc:description/>
  <dc:language>en-US</dc:language>
  <cp:lastModifiedBy/>
  <dcterms:modified xsi:type="dcterms:W3CDTF">2026-09-23T18:32:08Z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