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puts" sheetId="1" state="visible" r:id="rId3"/>
    <sheet name="Constraints" sheetId="2" state="visible" r:id="rId4"/>
    <sheet name="Marginal Analysis" sheetId="3" state="visible" r:id="rId5"/>
    <sheet name="Output" sheetId="4" state="visible" r:id="rId6"/>
  </sheets>
  <definedNames>
    <definedName function="false" hidden="false" name="Beds_Available" vbProcedure="false">Inputs!$B$14</definedName>
    <definedName function="false" hidden="false" name="Blended_Labor_Rate" vbProcedure="false">Output!$B$21</definedName>
    <definedName function="false" hidden="false" name="Carrot_Beds" vbProcedure="false">Output!$B$6</definedName>
    <definedName function="false" hidden="false" name="Carrot_Bed_Cap" vbProcedure="false">Inputs!$B$7</definedName>
    <definedName function="false" hidden="false" name="Carrot_Dim_Return" vbProcedure="false">Inputs!$F$7</definedName>
    <definedName function="false" hidden="false" name="Carrot_Fertilizer" vbProcedure="false">Inputs!$E$7</definedName>
    <definedName function="false" hidden="false" name="Carrot_Price" vbProcedure="false">Inputs!$C$7</definedName>
    <definedName function="false" hidden="false" name="Carrrot_Hours" vbProcedure="false">Inputs!$D$7</definedName>
    <definedName function="false" hidden="false" name="Farmer_Cost" vbProcedure="false">Inputs!$B$16</definedName>
    <definedName function="false" hidden="false" name="Farmer_Hours" vbProcedure="false">Inputs!$B$15</definedName>
    <definedName function="false" hidden="false" name="Fixed_Costs" vbProcedure="false">Inputs!$B$13</definedName>
    <definedName function="false" hidden="false" name="Mesclun_Beds" vbProcedure="false">Output!$B$7</definedName>
    <definedName function="false" hidden="false" name="Mesclun_Bed_Cap" vbProcedure="false">Inputs!$B$8</definedName>
    <definedName function="false" hidden="false" name="Mesclun_Dim_Return" vbProcedure="false">Inputs!$F$8</definedName>
    <definedName function="false" hidden="false" name="Mesclun_Fertilizer" vbProcedure="false">Inputs!$E$8</definedName>
    <definedName function="false" hidden="false" name="Mesclun_Hours" vbProcedure="false">Inputs!$D$8</definedName>
    <definedName function="false" hidden="false" name="Mesclun_Price" vbProcedure="false">Inputs!$C$8</definedName>
    <definedName function="false" hidden="false" name="Season" vbProcedure="false">Inputs!$B$12</definedName>
    <definedName function="false" hidden="false" name="Temp_Worker_Cost" vbProcedure="false">Inputs!$B$18</definedName>
    <definedName function="false" hidden="false" name="Temp_Worker_Count" vbProcedure="false">Inputs!$B$17</definedName>
    <definedName function="false" hidden="false" name="Temp_Worker_Hours_Each" vbProcedure="false">Inputs!$B$19</definedName>
    <definedName function="false" hidden="false" name="Tomato_Beds" vbProcedure="false">Output!$B$5</definedName>
    <definedName function="false" hidden="false" name="Tomato_Bed_Cap" vbProcedure="false">Inputs!$B$6</definedName>
    <definedName function="false" hidden="false" name="Tomato_Dim_Return" vbProcedure="false">Inputs!$F$6</definedName>
    <definedName function="false" hidden="false" name="Tomato_Fertizer" vbProcedure="false">Inputs!$E$6</definedName>
    <definedName function="false" hidden="false" name="Tomato_Hours" vbProcedure="false">Inputs!$D$6</definedName>
    <definedName function="false" hidden="false" name="Tomato_Price" vbProcedure="false">Inputs!$C$6</definedName>
    <definedName function="false" hidden="false" name="Total_Beds" vbProcedure="false">Output!$B$8</definedName>
    <definedName function="false" hidden="false" name="Total_Farm_Profit" vbProcedure="false">Output!$B$23</definedName>
    <definedName function="false" hidden="false" name="Total_Labor_Cost" vbProcedure="false">Output!$B$20</definedName>
    <definedName function="false" hidden="false" name="Total_Labor_Hours" vbProcedure="false">Output!$B$17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<sst xmlns="http://schemas.openxmlformats.org/spreadsheetml/2006/main" count="149" uniqueCount="103">
  <si>
    <t xml:space="preserve">Marginal Analysis — Crop &amp; Farm Inputs</t>
  </si>
  <si>
    <t xml:space="preserve">Case scenario: single-season crop mix. All inputs below are the named contract from spec.md — do not hardcode these values elsewhere; reference the named ranges.</t>
  </si>
  <si>
    <t xml:space="preserve">Crop Table</t>
  </si>
  <si>
    <t xml:space="preserve">Crop</t>
  </si>
  <si>
    <t xml:space="preserve">Bed Cap (# beds)</t>
  </si>
  <si>
    <t xml:space="preserve">Price ($/bed)</t>
  </si>
  <si>
    <t xml:space="preserve">Hours (hrs/wk/bed)</t>
  </si>
  <si>
    <t xml:space="preserve">Fertilizer ($/bed)</t>
  </si>
  <si>
    <t xml:space="preserve">Diminishing Return Rate (%/bed, compounding)</t>
  </si>
  <si>
    <t xml:space="preserve">Source</t>
  </si>
  <si>
    <t xml:space="preserve">Tomatoes</t>
  </si>
  <si>
    <t xml:space="preserve">Case scenario, crop table</t>
  </si>
  <si>
    <t xml:space="preserve">Carrots</t>
  </si>
  <si>
    <t xml:space="preserve">Mesclun</t>
  </si>
  <si>
    <t xml:space="preserve">Farm Table</t>
  </si>
  <si>
    <t xml:space="preserve">Parameter</t>
  </si>
  <si>
    <t xml:space="preserve">Value</t>
  </si>
  <si>
    <t xml:space="preserve">Unit</t>
  </si>
  <si>
    <t xml:space="preserve">Season</t>
  </si>
  <si>
    <t xml:space="preserve">weeks per season</t>
  </si>
  <si>
    <t xml:space="preserve">Case scenario, farm table</t>
  </si>
  <si>
    <t xml:space="preserve">Fixed_Costs</t>
  </si>
  <si>
    <t xml:space="preserve">USD per season</t>
  </si>
  <si>
    <t xml:space="preserve">Beds_Available</t>
  </si>
  <si>
    <t xml:space="preserve">total beds available this season</t>
  </si>
  <si>
    <t xml:space="preserve">Farmer_Hours</t>
  </si>
  <si>
    <t xml:space="preserve">hours available to work per season</t>
  </si>
  <si>
    <t xml:space="preserve">Farmer_Cost</t>
  </si>
  <si>
    <t xml:space="preserve">USD per hour worked</t>
  </si>
  <si>
    <t xml:space="preserve">Temp_Worker_Count</t>
  </si>
  <si>
    <t xml:space="preserve">number of available temp workers</t>
  </si>
  <si>
    <t xml:space="preserve">Temp_Worker_Cost</t>
  </si>
  <si>
    <t xml:space="preserve">Temp_Worker_Hours_Each</t>
  </si>
  <si>
    <t xml:space="preserve">hours available per season, EACH temp worker</t>
  </si>
  <si>
    <t xml:space="preserve">Labor(q) formula (applied per crop, not a single named range — q is the beds planted of that specific crop): Labor(q) = q × Hours-per-bed-per-week × Season × (1 + Diminishing Return Rate)^q. See the 'Marginal Analysis' sheet.</t>
  </si>
  <si>
    <t xml:space="preserve">Note: named ranges 'Tomato_Fertizer' and 'Carrrot_Hours' intentionally preserve the exact spelling given in spec.md's named contract.</t>
  </si>
  <si>
    <t xml:space="preserve">Marginal Analysis — Constraints</t>
  </si>
  <si>
    <t xml:space="preserve">Constraint</t>
  </si>
  <si>
    <t xml:space="preserve">LHS (actual)</t>
  </si>
  <si>
    <t xml:space="preserve">RHS (limit)</t>
  </si>
  <si>
    <t xml:space="preserve">Status</t>
  </si>
  <si>
    <t xml:space="preserve">Tomato beds within crop bed cap</t>
  </si>
  <si>
    <t xml:space="preserve">&lt;=</t>
  </si>
  <si>
    <t xml:space="preserve">Carrot beds within crop bed cap</t>
  </si>
  <si>
    <t xml:space="preserve">Mesclun beds within crop bed cap</t>
  </si>
  <si>
    <t xml:space="preserve">Total beds within farm bed capacity</t>
  </si>
  <si>
    <t xml:space="preserve">Total labor hours within farm labor capacity</t>
  </si>
  <si>
    <t xml:space="preserve">Tomato beds non-negative whole number</t>
  </si>
  <si>
    <t xml:space="preserve">whole #, &gt;= 0</t>
  </si>
  <si>
    <t xml:space="preserve">Carrot beds non-negative whole number</t>
  </si>
  <si>
    <t xml:space="preserve">Mesclun beds non-negative whole number</t>
  </si>
  <si>
    <t xml:space="preserve">All Constraints Satisfied?</t>
  </si>
  <si>
    <t xml:space="preserve">Marginal Analysis — Bed-by-Bed Cross-Over Mechanism</t>
  </si>
  <si>
    <t xml:space="preserve">Marginal labor cost uses the farm-wide Blended_Labor_Rate (Output sheet) per the spec convention: 'the P&amp;L allocates labor at the blended rate... farm level and not per crop.' Cross-over = the bed at which the next bed's marginal profit turns negative.</t>
  </si>
  <si>
    <t xml:space="preserve">Beds Planted (q)</t>
  </si>
  <si>
    <t xml:space="preserve">Cumulative Labor Hours (hrs)</t>
  </si>
  <si>
    <t xml:space="preserve">Marginal Labor Hours (hrs)</t>
  </si>
  <si>
    <t xml:space="preserve">Marginal Revenue ($)</t>
  </si>
  <si>
    <t xml:space="preserve">Marginal Fertilizer Cost ($)</t>
  </si>
  <si>
    <t xml:space="preserve">Marginal Labor Cost ($, blended)</t>
  </si>
  <si>
    <t xml:space="preserve">Marginal Profit ($)</t>
  </si>
  <si>
    <t xml:space="preserve">Cumulative Profit ($)</t>
  </si>
  <si>
    <t xml:space="preserve">Notes</t>
  </si>
  <si>
    <t xml:space="preserve">Marginal Analysis — Optimal Crop Mix &amp; P&amp;L</t>
  </si>
  <si>
    <t xml:space="preserve">Decision Variables — Solver-Adjustable Cells</t>
  </si>
  <si>
    <t xml:space="preserve">Beds Planted</t>
  </si>
  <si>
    <t xml:space="preserve">Bed Cap (ref)</t>
  </si>
  <si>
    <t xml:space="preserve">Total Beds Planted</t>
  </si>
  <si>
    <t xml:space="preserve">Profit &amp; Loss by Crop (labor costed at farm-wide blended rate)</t>
  </si>
  <si>
    <t xml:space="preserve">Beds</t>
  </si>
  <si>
    <t xml:space="preserve">Revenue ($)</t>
  </si>
  <si>
    <t xml:space="preserve">Fertilizer Cost ($)</t>
  </si>
  <si>
    <t xml:space="preserve">Labor Hours (hrs)</t>
  </si>
  <si>
    <t xml:space="preserve">Labor Cost ($, blended rate)</t>
  </si>
  <si>
    <t xml:space="preserve">Profit ($, contribution margin)</t>
  </si>
  <si>
    <t xml:space="preserve">Total</t>
  </si>
  <si>
    <t xml:space="preserve">Farm-Level Summary</t>
  </si>
  <si>
    <t xml:space="preserve">Total Labor Hours (hrs)</t>
  </si>
  <si>
    <t xml:space="preserve">Labor Hours — Farmer tier (&lt;= Farmer_Hours)</t>
  </si>
  <si>
    <t xml:space="preserve">Labor Hours — Temp tier (&lt;= Temp_Worker_Count*Temp_Worker_Hours_Each)</t>
  </si>
  <si>
    <t xml:space="preserve">Total Labor Cost ($)</t>
  </si>
  <si>
    <t xml:space="preserve">Blended Labor Rate ($/hr)</t>
  </si>
  <si>
    <t xml:space="preserve">Fixed Costs ($/season)</t>
  </si>
  <si>
    <t xml:space="preserve">Total Farm Profit ($)</t>
  </si>
  <si>
    <t xml:space="preserve">Solver Setup Guide (Data &gt; Solver in Excel)</t>
  </si>
  <si>
    <t xml:space="preserve">Set Objective:</t>
  </si>
  <si>
    <t xml:space="preserve">Total_Farm_Profit  (this sheet, cell B23)</t>
  </si>
  <si>
    <t xml:space="preserve">To:</t>
  </si>
  <si>
    <t xml:space="preserve">Max</t>
  </si>
  <si>
    <t xml:space="preserve">By Changing Variable Cells:</t>
  </si>
  <si>
    <t xml:space="preserve">Tomato_Beds, Carrot_Beds, Mesclun_Beds  (B5:B7 on this sheet)</t>
  </si>
  <si>
    <t xml:space="preserve">Subject to Constraints:</t>
  </si>
  <si>
    <t xml:space="preserve">Tomato_Beds &lt;= Tomato_Bed_Cap</t>
  </si>
  <si>
    <t xml:space="preserve">Carrot_Beds &lt;= Carrot_Bed_Cap</t>
  </si>
  <si>
    <t xml:space="preserve">Mesclun_Beds &lt;= Mesclun_Bed_Cap</t>
  </si>
  <si>
    <t xml:space="preserve">Total_Beds &lt;= Beds_Available</t>
  </si>
  <si>
    <t xml:space="preserve">Total_Labor_Hours &lt;= Farmer_Hours + Temp_Worker_Count*Temp_Worker_Hours_Each</t>
  </si>
  <si>
    <t xml:space="preserve">Tomato_Beds, Carrot_Beds, Mesclun_Beds &gt;= 0</t>
  </si>
  <si>
    <t xml:space="preserve">Tomato_Beds, Carrot_Beds, Mesclun_Beds = integer</t>
  </si>
  <si>
    <t xml:space="preserve">Solving Method:</t>
  </si>
  <si>
    <t xml:space="preserve">Evolutionary (objective is nonlinear/non-smooth: compounding diminishing returns on labor hours, plus a tiered farmer/temp labor rate)</t>
  </si>
  <si>
    <t xml:space="preserve">Full constraint checks:</t>
  </si>
  <si>
    <t xml:space="preserve">See 'Constraints' sheet.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</si>
</sst>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#,##0.0;\(#,##0.0\);\-"/>
    <numFmt numFmtId="167" formatCode="0.00%"/>
    <numFmt numFmtId="168" formatCode="#,##0;\(#,##0\);\-"/>
    <numFmt numFmtId="169" formatCode="\$#,##0.00;&quot;($&quot;#,##0.00\);\-"/>
    <numFmt numFmtId="170" formatCode="\$#,##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7F7F7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</font>
      <fill>
        <patternFill>
          <bgColor rgb="FFFFEB9C"/>
        </patternFill>
      </fill>
    </dxf>
    <dxf>
      <font>
        <name val="Arial"/>
        <charset val="1"/>
        <family val="0"/>
        <b val="1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7B7B7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26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</row>
    <row r="5" customFormat="false" ht="26.8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15" hidden="false" customHeight="false" outlineLevel="0" collapsed="false">
      <c r="A6" s="5" t="s">
        <v>10</v>
      </c>
      <c r="B6" s="6" t="n">
        <v>20</v>
      </c>
      <c r="C6" s="7" t="n">
        <v>8800</v>
      </c>
      <c r="D6" s="8" t="n">
        <v>2.5</v>
      </c>
      <c r="E6" s="7" t="n">
        <v>880</v>
      </c>
      <c r="F6" s="9" t="n">
        <v>0.1</v>
      </c>
      <c r="G6" s="10" t="s">
        <v>11</v>
      </c>
    </row>
    <row r="7" customFormat="false" ht="15" hidden="false" customHeight="false" outlineLevel="0" collapsed="false">
      <c r="A7" s="5" t="s">
        <v>12</v>
      </c>
      <c r="B7" s="6" t="n">
        <v>20</v>
      </c>
      <c r="C7" s="7" t="n">
        <v>2094</v>
      </c>
      <c r="D7" s="8" t="n">
        <v>0.833</v>
      </c>
      <c r="E7" s="7" t="n">
        <v>440</v>
      </c>
      <c r="F7" s="9" t="n">
        <v>0.025</v>
      </c>
      <c r="G7" s="10" t="s">
        <v>11</v>
      </c>
    </row>
    <row r="8" customFormat="false" ht="15" hidden="false" customHeight="false" outlineLevel="0" collapsed="false">
      <c r="A8" s="5" t="s">
        <v>13</v>
      </c>
      <c r="B8" s="6" t="n">
        <v>30</v>
      </c>
      <c r="C8" s="7" t="n">
        <v>2700</v>
      </c>
      <c r="D8" s="8" t="n">
        <v>1.25</v>
      </c>
      <c r="E8" s="7" t="n">
        <v>880</v>
      </c>
      <c r="F8" s="9" t="n">
        <v>0.0125</v>
      </c>
      <c r="G8" s="10" t="s">
        <v>11</v>
      </c>
    </row>
    <row r="10" customFormat="false" ht="15" hidden="false" customHeight="false" outlineLevel="0" collapsed="false">
      <c r="A10" s="3" t="s">
        <v>14</v>
      </c>
      <c r="B10" s="3"/>
      <c r="C10" s="3"/>
      <c r="D10" s="3"/>
    </row>
    <row r="11" customFormat="false" ht="15" hidden="false" customHeight="false" outlineLevel="0" collapsed="false">
      <c r="A11" s="4" t="s">
        <v>15</v>
      </c>
      <c r="B11" s="4" t="s">
        <v>16</v>
      </c>
      <c r="C11" s="4" t="s">
        <v>17</v>
      </c>
      <c r="D11" s="4" t="s">
        <v>9</v>
      </c>
    </row>
    <row r="12" customFormat="false" ht="15" hidden="false" customHeight="false" outlineLevel="0" collapsed="false">
      <c r="A12" s="5" t="s">
        <v>18</v>
      </c>
      <c r="B12" s="11" t="n">
        <v>36</v>
      </c>
      <c r="C12" s="12" t="s">
        <v>19</v>
      </c>
      <c r="D12" s="10" t="s">
        <v>20</v>
      </c>
    </row>
    <row r="13" customFormat="false" ht="15" hidden="false" customHeight="false" outlineLevel="0" collapsed="false">
      <c r="A13" s="5" t="s">
        <v>21</v>
      </c>
      <c r="B13" s="7" t="n">
        <v>20000</v>
      </c>
      <c r="C13" s="12" t="s">
        <v>22</v>
      </c>
      <c r="D13" s="10" t="s">
        <v>20</v>
      </c>
    </row>
    <row r="14" customFormat="false" ht="15" hidden="false" customHeight="false" outlineLevel="0" collapsed="false">
      <c r="A14" s="5" t="s">
        <v>23</v>
      </c>
      <c r="B14" s="11" t="n">
        <v>64</v>
      </c>
      <c r="C14" s="12" t="s">
        <v>24</v>
      </c>
      <c r="D14" s="10" t="s">
        <v>20</v>
      </c>
    </row>
    <row r="15" customFormat="false" ht="15" hidden="false" customHeight="false" outlineLevel="0" collapsed="false">
      <c r="A15" s="5" t="s">
        <v>25</v>
      </c>
      <c r="B15" s="11" t="n">
        <v>720</v>
      </c>
      <c r="C15" s="12" t="s">
        <v>26</v>
      </c>
      <c r="D15" s="10" t="s">
        <v>20</v>
      </c>
    </row>
    <row r="16" customFormat="false" ht="15" hidden="false" customHeight="false" outlineLevel="0" collapsed="false">
      <c r="A16" s="5" t="s">
        <v>27</v>
      </c>
      <c r="B16" s="13" t="n">
        <v>34.72</v>
      </c>
      <c r="C16" s="12" t="s">
        <v>28</v>
      </c>
      <c r="D16" s="10" t="s">
        <v>20</v>
      </c>
    </row>
    <row r="17" customFormat="false" ht="15" hidden="false" customHeight="false" outlineLevel="0" collapsed="false">
      <c r="A17" s="5" t="s">
        <v>29</v>
      </c>
      <c r="B17" s="11" t="n">
        <v>4</v>
      </c>
      <c r="C17" s="12" t="s">
        <v>30</v>
      </c>
      <c r="D17" s="10" t="s">
        <v>20</v>
      </c>
    </row>
    <row r="18" customFormat="false" ht="15" hidden="false" customHeight="false" outlineLevel="0" collapsed="false">
      <c r="A18" s="5" t="s">
        <v>31</v>
      </c>
      <c r="B18" s="13" t="n">
        <v>17.36</v>
      </c>
      <c r="C18" s="12" t="s">
        <v>28</v>
      </c>
      <c r="D18" s="10" t="s">
        <v>20</v>
      </c>
    </row>
    <row r="19" customFormat="false" ht="15" hidden="false" customHeight="false" outlineLevel="0" collapsed="false">
      <c r="A19" s="5" t="s">
        <v>32</v>
      </c>
      <c r="B19" s="11" t="n">
        <v>1440</v>
      </c>
      <c r="C19" s="12" t="s">
        <v>33</v>
      </c>
      <c r="D19" s="10" t="s">
        <v>20</v>
      </c>
    </row>
    <row r="22" customFormat="false" ht="27.75" hidden="false" customHeight="true" outlineLevel="0" collapsed="false">
      <c r="A22" s="14" t="s">
        <v>34</v>
      </c>
      <c r="B22" s="14"/>
      <c r="C22" s="14"/>
      <c r="D22" s="14"/>
      <c r="E22" s="14"/>
      <c r="F22" s="14"/>
      <c r="G22" s="14"/>
    </row>
    <row r="23" customFormat="false" ht="15" hidden="false" customHeight="false" outlineLevel="0" collapsed="false">
      <c r="A23" s="15" t="s">
        <v>35</v>
      </c>
      <c r="B23" s="15"/>
      <c r="C23" s="15"/>
      <c r="D23" s="15"/>
      <c r="E23" s="15"/>
      <c r="F23" s="15"/>
      <c r="G23" s="15"/>
    </row>
  </sheetData>
  <mergeCells count="6">
    <mergeCell ref="A1:D1"/>
    <mergeCell ref="A2:D2"/>
    <mergeCell ref="A4:G4"/>
    <mergeCell ref="A10:D10"/>
    <mergeCell ref="A22:G22"/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36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37</v>
      </c>
      <c r="B3" s="4" t="s">
        <v>38</v>
      </c>
      <c r="C3" s="4"/>
      <c r="D3" s="4" t="s">
        <v>39</v>
      </c>
      <c r="E3" s="4" t="s">
        <v>40</v>
      </c>
    </row>
    <row r="4" customFormat="false" ht="15" hidden="false" customHeight="false" outlineLevel="0" collapsed="false">
      <c r="A4" s="16" t="s">
        <v>41</v>
      </c>
      <c r="B4" s="17" t="n">
        <f aca="false">Tomato_Beds</f>
        <v>10</v>
      </c>
      <c r="C4" s="18" t="s">
        <v>42</v>
      </c>
      <c r="D4" s="17" t="n">
        <f aca="false">Tomato_Bed_Cap</f>
        <v>20</v>
      </c>
      <c r="E4" s="19" t="str">
        <f aca="false">IF(B4&lt;=D4,"OK","VIOLATION")</f>
        <v>OK</v>
      </c>
    </row>
    <row r="5" customFormat="false" ht="15" hidden="false" customHeight="false" outlineLevel="0" collapsed="false">
      <c r="A5" s="16" t="s">
        <v>43</v>
      </c>
      <c r="B5" s="17" t="n">
        <f aca="false">Carrot_Beds</f>
        <v>20</v>
      </c>
      <c r="C5" s="18" t="s">
        <v>42</v>
      </c>
      <c r="D5" s="17" t="n">
        <f aca="false">Carrot_Bed_Cap</f>
        <v>20</v>
      </c>
      <c r="E5" s="19" t="str">
        <f aca="false">IF(B5&lt;=D5,"OK","VIOLATION")</f>
        <v>OK</v>
      </c>
    </row>
    <row r="6" customFormat="false" ht="15" hidden="false" customHeight="false" outlineLevel="0" collapsed="false">
      <c r="A6" s="16" t="s">
        <v>44</v>
      </c>
      <c r="B6" s="17" t="n">
        <f aca="false">Mesclun_Beds</f>
        <v>30</v>
      </c>
      <c r="C6" s="18" t="s">
        <v>42</v>
      </c>
      <c r="D6" s="17" t="n">
        <f aca="false">Mesclun_Bed_Cap</f>
        <v>30</v>
      </c>
      <c r="E6" s="19" t="str">
        <f aca="false">IF(B6&lt;=D6,"OK","VIOLATION")</f>
        <v>OK</v>
      </c>
    </row>
    <row r="7" customFormat="false" ht="15" hidden="false" customHeight="false" outlineLevel="0" collapsed="false">
      <c r="A7" s="16" t="s">
        <v>45</v>
      </c>
      <c r="B7" s="17" t="n">
        <f aca="false">Total_Beds</f>
        <v>60</v>
      </c>
      <c r="C7" s="18" t="s">
        <v>42</v>
      </c>
      <c r="D7" s="17" t="n">
        <f aca="false">Beds_Available</f>
        <v>64</v>
      </c>
      <c r="E7" s="19" t="str">
        <f aca="false">IF(B7&lt;=D7,"OK","VIOLATION")</f>
        <v>OK</v>
      </c>
    </row>
    <row r="8" customFormat="false" ht="15" hidden="false" customHeight="false" outlineLevel="0" collapsed="false">
      <c r="A8" s="16" t="s">
        <v>46</v>
      </c>
      <c r="B8" s="17" t="n">
        <f aca="false">Total_Labor_Hours</f>
        <v>5276.82284632822</v>
      </c>
      <c r="C8" s="18" t="s">
        <v>42</v>
      </c>
      <c r="D8" s="17" t="n">
        <f aca="false">Farmer_Hours+Temp_Worker_Count*Temp_Worker_Hours_Each</f>
        <v>6480</v>
      </c>
      <c r="E8" s="19" t="str">
        <f aca="false">IF(B8&lt;=D8,"OK","VIOLATION")</f>
        <v>OK</v>
      </c>
    </row>
    <row r="9" customFormat="false" ht="15" hidden="false" customHeight="false" outlineLevel="0" collapsed="false">
      <c r="A9" s="16" t="s">
        <v>47</v>
      </c>
      <c r="B9" s="17" t="n">
        <f aca="false">Tomato_Beds</f>
        <v>10</v>
      </c>
      <c r="C9" s="16" t="s">
        <v>48</v>
      </c>
      <c r="D9" s="16"/>
      <c r="E9" s="19" t="str">
        <f aca="false">IF(AND(B9&gt;=0,MOD(B9,1)=0),"OK","VIOLATION")</f>
        <v>OK</v>
      </c>
    </row>
    <row r="10" customFormat="false" ht="15" hidden="false" customHeight="false" outlineLevel="0" collapsed="false">
      <c r="A10" s="16" t="s">
        <v>49</v>
      </c>
      <c r="B10" s="17" t="n">
        <f aca="false">Carrot_Beds</f>
        <v>20</v>
      </c>
      <c r="C10" s="16" t="s">
        <v>48</v>
      </c>
      <c r="D10" s="16"/>
      <c r="E10" s="19" t="str">
        <f aca="false">IF(AND(B10&gt;=0,MOD(B10,1)=0),"OK","VIOLATION")</f>
        <v>OK</v>
      </c>
    </row>
    <row r="11" customFormat="false" ht="15" hidden="false" customHeight="false" outlineLevel="0" collapsed="false">
      <c r="A11" s="16" t="s">
        <v>50</v>
      </c>
      <c r="B11" s="17" t="n">
        <f aca="false">Mesclun_Beds</f>
        <v>30</v>
      </c>
      <c r="C11" s="16" t="s">
        <v>48</v>
      </c>
      <c r="D11" s="16"/>
      <c r="E11" s="19" t="str">
        <f aca="false">IF(AND(B11&gt;=0,MOD(B11,1)=0),"OK","VIOLATION")</f>
        <v>OK</v>
      </c>
    </row>
    <row r="13" customFormat="false" ht="15" hidden="false" customHeight="false" outlineLevel="0" collapsed="false">
      <c r="A13" s="5" t="s">
        <v>51</v>
      </c>
      <c r="B13" s="16"/>
      <c r="C13" s="16"/>
      <c r="D13" s="16"/>
      <c r="E13" s="19" t="str">
        <f aca="false">IF(COUNTIF(E4:E11,"VIOLATION")=0,"OK","CHECK VIOLATIONS")</f>
        <v>OK</v>
      </c>
    </row>
  </sheetData>
  <mergeCells count="1">
    <mergeCell ref="A1:E1"/>
  </mergeCells>
  <conditionalFormatting sqref="E4">
    <cfRule type="cellIs" priority="2" operator="equal" aboveAverage="0" equalAverage="0" bottom="0" percent="0" rank="0" text="" dxfId="0">
      <formula>"VIOLATION"</formula>
    </cfRule>
    <cfRule type="cellIs" priority="3" operator="equal" aboveAverage="0" equalAverage="0" bottom="0" percent="0" rank="0" text="" dxfId="1">
      <formula>"OK"</formula>
    </cfRule>
  </conditionalFormatting>
  <conditionalFormatting sqref="E5">
    <cfRule type="cellIs" priority="4" operator="equal" aboveAverage="0" equalAverage="0" bottom="0" percent="0" rank="0" text="" dxfId="0">
      <formula>"VIOLATION"</formula>
    </cfRule>
    <cfRule type="cellIs" priority="5" operator="equal" aboveAverage="0" equalAverage="0" bottom="0" percent="0" rank="0" text="" dxfId="1">
      <formula>"OK"</formula>
    </cfRule>
  </conditionalFormatting>
  <conditionalFormatting sqref="E6">
    <cfRule type="cellIs" priority="6" operator="equal" aboveAverage="0" equalAverage="0" bottom="0" percent="0" rank="0" text="" dxfId="0">
      <formula>"VIOLATION"</formula>
    </cfRule>
    <cfRule type="cellIs" priority="7" operator="equal" aboveAverage="0" equalAverage="0" bottom="0" percent="0" rank="0" text="" dxfId="1">
      <formula>"OK"</formula>
    </cfRule>
  </conditionalFormatting>
  <conditionalFormatting sqref="E7">
    <cfRule type="cellIs" priority="8" operator="equal" aboveAverage="0" equalAverage="0" bottom="0" percent="0" rank="0" text="" dxfId="0">
      <formula>"VIOLATION"</formula>
    </cfRule>
    <cfRule type="cellIs" priority="9" operator="equal" aboveAverage="0" equalAverage="0" bottom="0" percent="0" rank="0" text="" dxfId="1">
      <formula>"OK"</formula>
    </cfRule>
  </conditionalFormatting>
  <conditionalFormatting sqref="E8">
    <cfRule type="cellIs" priority="10" operator="equal" aboveAverage="0" equalAverage="0" bottom="0" percent="0" rank="0" text="" dxfId="0">
      <formula>"VIOLATION"</formula>
    </cfRule>
    <cfRule type="cellIs" priority="11" operator="equal" aboveAverage="0" equalAverage="0" bottom="0" percent="0" rank="0" text="" dxfId="1">
      <formula>"OK"</formula>
    </cfRule>
  </conditionalFormatting>
  <conditionalFormatting sqref="E9">
    <cfRule type="cellIs" priority="12" operator="equal" aboveAverage="0" equalAverage="0" bottom="0" percent="0" rank="0" text="" dxfId="0">
      <formula>"VIOLATION"</formula>
    </cfRule>
    <cfRule type="cellIs" priority="13" operator="equal" aboveAverage="0" equalAverage="0" bottom="0" percent="0" rank="0" text="" dxfId="1">
      <formula>"OK"</formula>
    </cfRule>
  </conditionalFormatting>
  <conditionalFormatting sqref="E10">
    <cfRule type="cellIs" priority="14" operator="equal" aboveAverage="0" equalAverage="0" bottom="0" percent="0" rank="0" text="" dxfId="0">
      <formula>"VIOLATION"</formula>
    </cfRule>
    <cfRule type="cellIs" priority="15" operator="equal" aboveAverage="0" equalAverage="0" bottom="0" percent="0" rank="0" text="" dxfId="1">
      <formula>"OK"</formula>
    </cfRule>
  </conditionalFormatting>
  <conditionalFormatting sqref="E11">
    <cfRule type="cellIs" priority="16" operator="equal" aboveAverage="0" equalAverage="0" bottom="0" percent="0" rank="0" text="" dxfId="0">
      <formula>"VIOLATION"</formula>
    </cfRule>
    <cfRule type="cellIs" priority="17" operator="equal" aboveAverage="0" equalAverage="0" bottom="0" percent="0" rank="0" text="" dxfId="1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I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20"/>
    <col collapsed="false" customWidth="true" hidden="false" outlineLevel="0" max="9" min="8" style="0" width="16"/>
    <col collapsed="false" customWidth="true" hidden="false" outlineLevel="0" max="10" min="10" style="0" width="20"/>
  </cols>
  <sheetData>
    <row r="1" customFormat="false" ht="17.35" hidden="false" customHeight="false" outlineLevel="0" collapsed="false">
      <c r="A1" s="1" t="s">
        <v>52</v>
      </c>
      <c r="B1" s="1"/>
      <c r="C1" s="1"/>
      <c r="D1" s="1"/>
      <c r="E1" s="1"/>
      <c r="F1" s="1"/>
      <c r="G1" s="1"/>
      <c r="H1" s="1"/>
      <c r="I1" s="1"/>
    </row>
    <row r="2" customFormat="false" ht="25.5" hidden="false" customHeight="true" outlineLevel="0" collapsed="false">
      <c r="A2" s="20" t="s">
        <v>53</v>
      </c>
      <c r="B2" s="20"/>
      <c r="C2" s="20"/>
      <c r="D2" s="20"/>
      <c r="E2" s="20"/>
      <c r="F2" s="20"/>
      <c r="G2" s="20"/>
      <c r="H2" s="20"/>
      <c r="I2" s="20"/>
    </row>
    <row r="4" customFormat="false" ht="15" hidden="false" customHeight="false" outlineLevel="0" collapsed="false">
      <c r="A4" s="3" t="s">
        <v>10</v>
      </c>
      <c r="B4" s="3"/>
      <c r="C4" s="3"/>
      <c r="D4" s="3"/>
      <c r="E4" s="3"/>
      <c r="F4" s="3"/>
      <c r="G4" s="3"/>
      <c r="H4" s="3"/>
      <c r="I4" s="3"/>
    </row>
    <row r="5" customFormat="false" ht="52.2" hidden="false" customHeight="false" outlineLevel="0" collapsed="false">
      <c r="A5" s="4" t="s">
        <v>54</v>
      </c>
      <c r="B5" s="4" t="s">
        <v>55</v>
      </c>
      <c r="C5" s="4" t="s">
        <v>56</v>
      </c>
      <c r="D5" s="4" t="s">
        <v>57</v>
      </c>
      <c r="E5" s="4" t="s">
        <v>58</v>
      </c>
      <c r="F5" s="4" t="s">
        <v>59</v>
      </c>
      <c r="G5" s="4" t="s">
        <v>60</v>
      </c>
      <c r="H5" s="4" t="s">
        <v>61</v>
      </c>
      <c r="I5" s="4" t="s">
        <v>62</v>
      </c>
    </row>
    <row r="6" customFormat="false" ht="15" hidden="false" customHeight="false" outlineLevel="0" collapsed="false">
      <c r="A6" s="21" t="n">
        <f aca="false">ROW()-5</f>
        <v>1</v>
      </c>
      <c r="B6" s="17" t="n">
        <f aca="false">IF(A6&lt;=Tomato_Bed_Cap,A6*Tomato_Hours*Season*(1+Tomato_Dim_Return)^A6,"")</f>
        <v>99</v>
      </c>
      <c r="C6" s="17" t="n">
        <f aca="false">IF(A6&lt;=Tomato_Bed_Cap,B6,"")</f>
        <v>99</v>
      </c>
      <c r="D6" s="22" t="n">
        <f aca="false">IF(A6&lt;=Tomato_Bed_Cap,Tomato_Price,"")</f>
        <v>8800</v>
      </c>
      <c r="E6" s="22" t="n">
        <f aca="false">IF(A6&lt;=Tomato_Bed_Cap,Tomato_Fertizer,"")</f>
        <v>880</v>
      </c>
      <c r="F6" s="22" t="n">
        <f aca="false">IF(A6&lt;=Tomato_Bed_Cap,C6*Blended_Labor_Rate,"")</f>
        <v>1953.14110720716</v>
      </c>
      <c r="G6" s="22" t="n">
        <f aca="false">IF(A6&lt;=Tomato_Bed_Cap,D6-E6-F6,"")</f>
        <v>5966.85889279284</v>
      </c>
      <c r="H6" s="22" t="n">
        <f aca="false">IF(A6&lt;=Tomato_Bed_Cap,G6,"")</f>
        <v>5966.85889279284</v>
      </c>
      <c r="I6" s="23" t="str">
        <f aca="false">IF((A6=Tomato_Beds),"&lt;- Solver-selected","")</f>
        <v/>
      </c>
    </row>
    <row r="7" customFormat="false" ht="15" hidden="false" customHeight="false" outlineLevel="0" collapsed="false">
      <c r="A7" s="21" t="n">
        <f aca="false">ROW()-5</f>
        <v>2</v>
      </c>
      <c r="B7" s="17" t="n">
        <f aca="false">IF(A7&lt;=Tomato_Bed_Cap,A7*Tomato_Hours*Season*(1+Tomato_Dim_Return)^A7,"")</f>
        <v>217.8</v>
      </c>
      <c r="C7" s="17" t="n">
        <f aca="false">IF(A7&lt;=Tomato_Bed_Cap,B7-IF(ISNUMBER(B6),B6,0),"")</f>
        <v>118.8</v>
      </c>
      <c r="D7" s="22" t="n">
        <f aca="false">IF(A7&lt;=Tomato_Bed_Cap,Tomato_Price,"")</f>
        <v>8800</v>
      </c>
      <c r="E7" s="22" t="n">
        <f aca="false">IF(A7&lt;=Tomato_Bed_Cap,Tomato_Fertizer,"")</f>
        <v>880</v>
      </c>
      <c r="F7" s="22" t="n">
        <f aca="false">IF(A7&lt;=Tomato_Bed_Cap,C7*Blended_Labor_Rate,"")</f>
        <v>2343.76932864859</v>
      </c>
      <c r="G7" s="22" t="n">
        <f aca="false">IF(A7&lt;=Tomato_Bed_Cap,D7-E7-F7,"")</f>
        <v>5576.23067135141</v>
      </c>
      <c r="H7" s="22" t="n">
        <f aca="false">IF(A7&lt;=Tomato_Bed_Cap,IF(ISNUMBER(H6),H6,0)+G7,"")</f>
        <v>11543.0895641442</v>
      </c>
      <c r="I7" s="23" t="str">
        <f aca="false">IF(AND(AND(ISNUMBER(G7),G7&lt;0,ISNUMBER(G6),G6&gt;=0),(A7=Tomato_Beds)),"&lt;- Cross-over &amp; Solver-selected",IF(AND(ISNUMBER(G7),G7&lt;0,ISNUMBER(G6),G6&gt;=0),"&lt;- Cross-over (next bed unprofitable)",IF((A7=Tomato_Beds),"&lt;- Solver-selected","")))</f>
        <v/>
      </c>
    </row>
    <row r="8" customFormat="false" ht="15" hidden="false" customHeight="false" outlineLevel="0" collapsed="false">
      <c r="A8" s="21" t="n">
        <f aca="false">ROW()-5</f>
        <v>3</v>
      </c>
      <c r="B8" s="17" t="n">
        <f aca="false">IF(A8&lt;=Tomato_Bed_Cap,A8*Tomato_Hours*Season*(1+Tomato_Dim_Return)^A8,"")</f>
        <v>359.37</v>
      </c>
      <c r="C8" s="17" t="n">
        <f aca="false">IF(A8&lt;=Tomato_Bed_Cap,B8-IF(ISNUMBER(B7),B7,0),"")</f>
        <v>141.57</v>
      </c>
      <c r="D8" s="22" t="n">
        <f aca="false">IF(A8&lt;=Tomato_Bed_Cap,Tomato_Price,"")</f>
        <v>8800</v>
      </c>
      <c r="E8" s="22" t="n">
        <f aca="false">IF(A8&lt;=Tomato_Bed_Cap,Tomato_Fertizer,"")</f>
        <v>880</v>
      </c>
      <c r="F8" s="22" t="n">
        <f aca="false">IF(A8&lt;=Tomato_Bed_Cap,C8*Blended_Labor_Rate,"")</f>
        <v>2792.99178330624</v>
      </c>
      <c r="G8" s="22" t="n">
        <f aca="false">IF(A8&lt;=Tomato_Bed_Cap,D8-E8-F8,"")</f>
        <v>5127.00821669376</v>
      </c>
      <c r="H8" s="22" t="n">
        <f aca="false">IF(A8&lt;=Tomato_Bed_Cap,IF(ISNUMBER(H7),H7,0)+G8,"")</f>
        <v>16670.097780838</v>
      </c>
      <c r="I8" s="23" t="str">
        <f aca="false">IF(AND(AND(ISNUMBER(G8),G8&lt;0,ISNUMBER(G7),G7&gt;=0),(A8=Tomato_Beds)),"&lt;- Cross-over &amp; Solver-selected",IF(AND(ISNUMBER(G8),G8&lt;0,ISNUMBER(G7),G7&gt;=0),"&lt;- Cross-over (next bed unprofitable)",IF((A8=Tomato_Beds),"&lt;- Solver-selected","")))</f>
        <v/>
      </c>
    </row>
    <row r="9" customFormat="false" ht="15" hidden="false" customHeight="false" outlineLevel="0" collapsed="false">
      <c r="A9" s="21" t="n">
        <f aca="false">ROW()-5</f>
        <v>4</v>
      </c>
      <c r="B9" s="17" t="n">
        <f aca="false">IF(A9&lt;=Tomato_Bed_Cap,A9*Tomato_Hours*Season*(1+Tomato_Dim_Return)^A9,"")</f>
        <v>527.076</v>
      </c>
      <c r="C9" s="17" t="n">
        <f aca="false">IF(A9&lt;=Tomato_Bed_Cap,B9-IF(ISNUMBER(B8),B8,0),"")</f>
        <v>167.706</v>
      </c>
      <c r="D9" s="22" t="n">
        <f aca="false">IF(A9&lt;=Tomato_Bed_Cap,Tomato_Price,"")</f>
        <v>8800</v>
      </c>
      <c r="E9" s="22" t="n">
        <f aca="false">IF(A9&lt;=Tomato_Bed_Cap,Tomato_Fertizer,"")</f>
        <v>880</v>
      </c>
      <c r="F9" s="22" t="n">
        <f aca="false">IF(A9&lt;=Tomato_Bed_Cap,C9*Blended_Labor_Rate,"")</f>
        <v>3308.62103560893</v>
      </c>
      <c r="G9" s="22" t="n">
        <f aca="false">IF(A9&lt;=Tomato_Bed_Cap,D9-E9-F9,"")</f>
        <v>4611.37896439107</v>
      </c>
      <c r="H9" s="22" t="n">
        <f aca="false">IF(A9&lt;=Tomato_Bed_Cap,IF(ISNUMBER(H8),H8,0)+G9,"")</f>
        <v>21281.4767452291</v>
      </c>
      <c r="I9" s="23" t="str">
        <f aca="false">IF(AND(AND(ISNUMBER(G9),G9&lt;0,ISNUMBER(G8),G8&gt;=0),(A9=Tomato_Beds)),"&lt;- Cross-over &amp; Solver-selected",IF(AND(ISNUMBER(G9),G9&lt;0,ISNUMBER(G8),G8&gt;=0),"&lt;- Cross-over (next bed unprofitable)",IF((A9=Tomato_Beds),"&lt;- Solver-selected","")))</f>
        <v/>
      </c>
    </row>
    <row r="10" customFormat="false" ht="15" hidden="false" customHeight="false" outlineLevel="0" collapsed="false">
      <c r="A10" s="21" t="n">
        <f aca="false">ROW()-5</f>
        <v>5</v>
      </c>
      <c r="B10" s="17" t="n">
        <f aca="false">IF(A10&lt;=Tomato_Bed_Cap,A10*Tomato_Hours*Season*(1+Tomato_Dim_Return)^A10,"")</f>
        <v>724.7295</v>
      </c>
      <c r="C10" s="17" t="n">
        <f aca="false">IF(A10&lt;=Tomato_Bed_Cap,B10-IF(ISNUMBER(B9),B9,0),"")</f>
        <v>197.6535</v>
      </c>
      <c r="D10" s="22" t="n">
        <f aca="false">IF(A10&lt;=Tomato_Bed_Cap,Tomato_Price,"")</f>
        <v>8800</v>
      </c>
      <c r="E10" s="22" t="n">
        <f aca="false">IF(A10&lt;=Tomato_Bed_Cap,Tomato_Fertizer,"")</f>
        <v>880</v>
      </c>
      <c r="F10" s="22" t="n">
        <f aca="false">IF(A10&lt;=Tomato_Bed_Cap,C10*Blended_Labor_Rate,"")</f>
        <v>3899.4462205391</v>
      </c>
      <c r="G10" s="22" t="n">
        <f aca="false">IF(A10&lt;=Tomato_Bed_Cap,D10-E10-F10,"")</f>
        <v>4020.5537794609</v>
      </c>
      <c r="H10" s="22" t="n">
        <f aca="false">IF(A10&lt;=Tomato_Bed_Cap,IF(ISNUMBER(H9),H9,0)+G10,"")</f>
        <v>25302.03052469</v>
      </c>
      <c r="I10" s="23" t="str">
        <f aca="false">IF(AND(AND(ISNUMBER(G10),G10&lt;0,ISNUMBER(G9),G9&gt;=0),(A10=Tomato_Beds)),"&lt;- Cross-over &amp; Solver-selected",IF(AND(ISNUMBER(G10),G10&lt;0,ISNUMBER(G9),G9&gt;=0),"&lt;- Cross-over (next bed unprofitable)",IF((A10=Tomato_Beds),"&lt;- Solver-selected","")))</f>
        <v/>
      </c>
    </row>
    <row r="11" customFormat="false" ht="15" hidden="false" customHeight="false" outlineLevel="0" collapsed="false">
      <c r="A11" s="21" t="n">
        <f aca="false">ROW()-5</f>
        <v>6</v>
      </c>
      <c r="B11" s="17" t="n">
        <f aca="false">IF(A11&lt;=Tomato_Bed_Cap,A11*Tomato_Hours*Season*(1+Tomato_Dim_Return)^A11,"")</f>
        <v>956.64294</v>
      </c>
      <c r="C11" s="17" t="n">
        <f aca="false">IF(A11&lt;=Tomato_Bed_Cap,B11-IF(ISNUMBER(B10),B10,0),"")</f>
        <v>231.91344</v>
      </c>
      <c r="D11" s="22" t="n">
        <f aca="false">IF(A11&lt;=Tomato_Bed_Cap,Tomato_Price,"")</f>
        <v>8800</v>
      </c>
      <c r="E11" s="22" t="n">
        <f aca="false">IF(A11&lt;=Tomato_Bed_Cap,Tomato_Fertizer,"")</f>
        <v>880</v>
      </c>
      <c r="F11" s="22" t="n">
        <f aca="false">IF(A11&lt;=Tomato_Bed_Cap,C11*Blended_Labor_Rate,"")</f>
        <v>4575.35023209921</v>
      </c>
      <c r="G11" s="22" t="n">
        <f aca="false">IF(A11&lt;=Tomato_Bed_Cap,D11-E11-F11,"")</f>
        <v>3344.64976790079</v>
      </c>
      <c r="H11" s="22" t="n">
        <f aca="false">IF(A11&lt;=Tomato_Bed_Cap,IF(ISNUMBER(H10),H10,0)+G11,"")</f>
        <v>28646.6802925908</v>
      </c>
      <c r="I11" s="23" t="str">
        <f aca="false">IF(AND(AND(ISNUMBER(G11),G11&lt;0,ISNUMBER(G10),G10&gt;=0),(A11=Tomato_Beds)),"&lt;- Cross-over &amp; Solver-selected",IF(AND(ISNUMBER(G11),G11&lt;0,ISNUMBER(G10),G10&gt;=0),"&lt;- Cross-over (next bed unprofitable)",IF((A11=Tomato_Beds),"&lt;- Solver-selected","")))</f>
        <v/>
      </c>
    </row>
    <row r="12" customFormat="false" ht="15" hidden="false" customHeight="false" outlineLevel="0" collapsed="false">
      <c r="A12" s="21" t="n">
        <f aca="false">ROW()-5</f>
        <v>7</v>
      </c>
      <c r="B12" s="17" t="n">
        <f aca="false">IF(A12&lt;=Tomato_Bed_Cap,A12*Tomato_Hours*Season*(1+Tomato_Dim_Return)^A12,"")</f>
        <v>1227.691773</v>
      </c>
      <c r="C12" s="17" t="n">
        <f aca="false">IF(A12&lt;=Tomato_Bed_Cap,B12-IF(ISNUMBER(B11),B11,0),"")</f>
        <v>271.048833</v>
      </c>
      <c r="D12" s="22" t="n">
        <f aca="false">IF(A12&lt;=Tomato_Bed_Cap,Tomato_Price,"")</f>
        <v>8800</v>
      </c>
      <c r="E12" s="22" t="n">
        <f aca="false">IF(A12&lt;=Tomato_Bed_Cap,Tomato_Fertizer,"")</f>
        <v>880</v>
      </c>
      <c r="F12" s="22" t="n">
        <f aca="false">IF(A12&lt;=Tomato_Bed_Cap,C12*Blended_Labor_Rate,"")</f>
        <v>5347.44058376595</v>
      </c>
      <c r="G12" s="22" t="n">
        <f aca="false">IF(A12&lt;=Tomato_Bed_Cap,D12-E12-F12,"")</f>
        <v>2572.55941623405</v>
      </c>
      <c r="H12" s="22" t="n">
        <f aca="false">IF(A12&lt;=Tomato_Bed_Cap,IF(ISNUMBER(H11),H11,0)+G12,"")</f>
        <v>31219.2397088248</v>
      </c>
      <c r="I12" s="23" t="str">
        <f aca="false">IF(AND(AND(ISNUMBER(G12),G12&lt;0,ISNUMBER(G11),G11&gt;=0),(A12=Tomato_Beds)),"&lt;- Cross-over &amp; Solver-selected",IF(AND(ISNUMBER(G12),G12&lt;0,ISNUMBER(G11),G11&gt;=0),"&lt;- Cross-over (next bed unprofitable)",IF((A12=Tomato_Beds),"&lt;- Solver-selected","")))</f>
        <v/>
      </c>
    </row>
    <row r="13" customFormat="false" ht="15" hidden="false" customHeight="false" outlineLevel="0" collapsed="false">
      <c r="A13" s="21" t="n">
        <f aca="false">ROW()-5</f>
        <v>8</v>
      </c>
      <c r="B13" s="17" t="n">
        <f aca="false">IF(A13&lt;=Tomato_Bed_Cap,A13*Tomato_Hours*Season*(1+Tomato_Dim_Return)^A13,"")</f>
        <v>1543.3839432</v>
      </c>
      <c r="C13" s="17" t="n">
        <f aca="false">IF(A13&lt;=Tomato_Bed_Cap,B13-IF(ISNUMBER(B12),B12,0),"")</f>
        <v>315.6921702</v>
      </c>
      <c r="D13" s="22" t="n">
        <f aca="false">IF(A13&lt;=Tomato_Bed_Cap,Tomato_Price,"")</f>
        <v>8800</v>
      </c>
      <c r="E13" s="22" t="n">
        <f aca="false">IF(A13&lt;=Tomato_Bed_Cap,Tomato_Fertizer,"")</f>
        <v>880</v>
      </c>
      <c r="F13" s="22" t="n">
        <f aca="false">IF(A13&lt;=Tomato_Bed_Cap,C13*Blended_Labor_Rate,"")</f>
        <v>6228.19550344505</v>
      </c>
      <c r="G13" s="22" t="n">
        <f aca="false">IF(A13&lt;=Tomato_Bed_Cap,D13-E13-F13,"")</f>
        <v>1691.80449655495</v>
      </c>
      <c r="H13" s="22" t="n">
        <f aca="false">IF(A13&lt;=Tomato_Bed_Cap,IF(ISNUMBER(H12),H12,0)+G13,"")</f>
        <v>32911.0442053798</v>
      </c>
      <c r="I13" s="23" t="str">
        <f aca="false">IF(AND(AND(ISNUMBER(G13),G13&lt;0,ISNUMBER(G12),G12&gt;=0),(A13=Tomato_Beds)),"&lt;- Cross-over &amp; Solver-selected",IF(AND(ISNUMBER(G13),G13&lt;0,ISNUMBER(G12),G12&gt;=0),"&lt;- Cross-over (next bed unprofitable)",IF((A13=Tomato_Beds),"&lt;- Solver-selected","")))</f>
        <v/>
      </c>
    </row>
    <row r="14" customFormat="false" ht="15" hidden="false" customHeight="false" outlineLevel="0" collapsed="false">
      <c r="A14" s="21" t="n">
        <f aca="false">ROW()-5</f>
        <v>9</v>
      </c>
      <c r="B14" s="17" t="n">
        <f aca="false">IF(A14&lt;=Tomato_Bed_Cap,A14*Tomato_Hours*Season*(1+Tomato_Dim_Return)^A14,"")</f>
        <v>1909.93762971</v>
      </c>
      <c r="C14" s="17" t="n">
        <f aca="false">IF(A14&lt;=Tomato_Bed_Cap,B14-IF(ISNUMBER(B13),B13,0),"")</f>
        <v>366.553686510001</v>
      </c>
      <c r="D14" s="22" t="n">
        <f aca="false">IF(A14&lt;=Tomato_Bed_Cap,Tomato_Price,"")</f>
        <v>8800</v>
      </c>
      <c r="E14" s="22" t="n">
        <f aca="false">IF(A14&lt;=Tomato_Bed_Cap,Tomato_Fertizer,"")</f>
        <v>880</v>
      </c>
      <c r="F14" s="22" t="n">
        <f aca="false">IF(A14&lt;=Tomato_Bed_Cap,C14*Blended_Labor_Rate,"")</f>
        <v>7231.62700122231</v>
      </c>
      <c r="G14" s="22" t="n">
        <f aca="false">IF(A14&lt;=Tomato_Bed_Cap,D14-E14-F14,"")</f>
        <v>688.372998777693</v>
      </c>
      <c r="H14" s="22" t="n">
        <f aca="false">IF(A14&lt;=Tomato_Bed_Cap,IF(ISNUMBER(H13),H13,0)+G14,"")</f>
        <v>33599.4172041575</v>
      </c>
      <c r="I14" s="23" t="str">
        <f aca="false">IF(AND(AND(ISNUMBER(G14),G14&lt;0,ISNUMBER(G13),G13&gt;=0),(A14=Tomato_Beds)),"&lt;- Cross-over &amp; Solver-selected",IF(AND(ISNUMBER(G14),G14&lt;0,ISNUMBER(G13),G13&gt;=0),"&lt;- Cross-over (next bed unprofitable)",IF((A14=Tomato_Beds),"&lt;- Solver-selected","")))</f>
        <v/>
      </c>
    </row>
    <row r="15" customFormat="false" ht="15" hidden="false" customHeight="false" outlineLevel="0" collapsed="false">
      <c r="A15" s="21" t="n">
        <f aca="false">ROW()-5</f>
        <v>10</v>
      </c>
      <c r="B15" s="17" t="n">
        <f aca="false">IF(A15&lt;=Tomato_Bed_Cap,A15*Tomato_Hours*Season*(1+Tomato_Dim_Return)^A15,"")</f>
        <v>2334.36821409</v>
      </c>
      <c r="C15" s="17" t="n">
        <f aca="false">IF(A15&lt;=Tomato_Bed_Cap,B15-IF(ISNUMBER(B14),B14,0),"")</f>
        <v>424.43058438</v>
      </c>
      <c r="D15" s="22" t="n">
        <f aca="false">IF(A15&lt;=Tomato_Bed_Cap,Tomato_Price,"")</f>
        <v>8800</v>
      </c>
      <c r="E15" s="22" t="n">
        <f aca="false">IF(A15&lt;=Tomato_Bed_Cap,Tomato_Fertizer,"")</f>
        <v>880</v>
      </c>
      <c r="F15" s="22" t="n">
        <f aca="false">IF(A15&lt;=Tomato_Bed_Cap,C15*Blended_Labor_Rate,"")</f>
        <v>8373.46284352056</v>
      </c>
      <c r="G15" s="22" t="n">
        <f aca="false">IF(A15&lt;=Tomato_Bed_Cap,D15-E15-F15,"")</f>
        <v>-453.46284352056</v>
      </c>
      <c r="H15" s="22" t="n">
        <f aca="false">IF(A15&lt;=Tomato_Bed_Cap,IF(ISNUMBER(H14),H14,0)+G15,"")</f>
        <v>33145.9543606369</v>
      </c>
      <c r="I15" s="23" t="str">
        <f aca="false">IF(AND(AND(ISNUMBER(G15),G15&lt;0,ISNUMBER(G14),G14&gt;=0),(A15=Tomato_Beds)),"&lt;- Cross-over &amp; Solver-selected",IF(AND(ISNUMBER(G15),G15&lt;0,ISNUMBER(G14),G14&gt;=0),"&lt;- Cross-over (next bed unprofitable)",IF((A15=Tomato_Beds),"&lt;- Solver-selected","")))</f>
        <v>&lt;- Cross-over &amp; Solver-selected</v>
      </c>
    </row>
    <row r="16" customFormat="false" ht="15" hidden="false" customHeight="false" outlineLevel="0" collapsed="false">
      <c r="A16" s="21" t="n">
        <f aca="false">ROW()-5</f>
        <v>11</v>
      </c>
      <c r="B16" s="17" t="n">
        <f aca="false">IF(A16&lt;=Tomato_Bed_Cap,A16*Tomato_Hours*Season*(1+Tomato_Dim_Return)^A16,"")</f>
        <v>2824.5855390489</v>
      </c>
      <c r="C16" s="17" t="n">
        <f aca="false">IF(A16&lt;=Tomato_Bed_Cap,B16-IF(ISNUMBER(B15),B15,0),"")</f>
        <v>490.2173249589</v>
      </c>
      <c r="D16" s="22" t="n">
        <f aca="false">IF(A16&lt;=Tomato_Bed_Cap,Tomato_Price,"")</f>
        <v>8800</v>
      </c>
      <c r="E16" s="22" t="n">
        <f aca="false">IF(A16&lt;=Tomato_Bed_Cap,Tomato_Fertizer,"")</f>
        <v>880</v>
      </c>
      <c r="F16" s="22" t="n">
        <f aca="false">IF(A16&lt;=Tomato_Bed_Cap,C16*Blended_Labor_Rate,"")</f>
        <v>9671.34958426625</v>
      </c>
      <c r="G16" s="22" t="n">
        <f aca="false">IF(A16&lt;=Tomato_Bed_Cap,D16-E16-F16,"")</f>
        <v>-1751.34958426625</v>
      </c>
      <c r="H16" s="22" t="n">
        <f aca="false">IF(A16&lt;=Tomato_Bed_Cap,IF(ISNUMBER(H15),H15,0)+G16,"")</f>
        <v>31394.6047763707</v>
      </c>
      <c r="I16" s="23" t="str">
        <f aca="false">IF(AND(AND(ISNUMBER(G16),G16&lt;0,ISNUMBER(G15),G15&gt;=0),(A16=Tomato_Beds)),"&lt;- Cross-over &amp; Solver-selected",IF(AND(ISNUMBER(G16),G16&lt;0,ISNUMBER(G15),G15&gt;=0),"&lt;- Cross-over (next bed unprofitable)",IF((A16=Tomato_Beds),"&lt;- Solver-selected","")))</f>
        <v/>
      </c>
    </row>
    <row r="17" customFormat="false" ht="15" hidden="false" customHeight="false" outlineLevel="0" collapsed="false">
      <c r="A17" s="21" t="n">
        <f aca="false">ROW()-5</f>
        <v>12</v>
      </c>
      <c r="B17" s="17" t="n">
        <f aca="false">IF(A17&lt;=Tomato_Bed_Cap,A17*Tomato_Hours*Season*(1+Tomato_Dim_Return)^A17,"")</f>
        <v>3389.50264685868</v>
      </c>
      <c r="C17" s="17" t="n">
        <f aca="false">IF(A17&lt;=Tomato_Bed_Cap,B17-IF(ISNUMBER(B16),B16,0),"")</f>
        <v>564.917107809781</v>
      </c>
      <c r="D17" s="22" t="n">
        <f aca="false">IF(A17&lt;=Tomato_Bed_Cap,Tomato_Price,"")</f>
        <v>8800</v>
      </c>
      <c r="E17" s="22" t="n">
        <f aca="false">IF(A17&lt;=Tomato_Bed_Cap,Tomato_Fertizer,"")</f>
        <v>880</v>
      </c>
      <c r="F17" s="22" t="n">
        <f aca="false">IF(A17&lt;=Tomato_Bed_Cap,C17*Blended_Labor_Rate,"")</f>
        <v>11145.0790447259</v>
      </c>
      <c r="G17" s="22" t="n">
        <f aca="false">IF(A17&lt;=Tomato_Bed_Cap,D17-E17-F17,"")</f>
        <v>-3225.07904472588</v>
      </c>
      <c r="H17" s="22" t="n">
        <f aca="false">IF(A17&lt;=Tomato_Bed_Cap,IF(ISNUMBER(H16),H16,0)+G17,"")</f>
        <v>28169.5257316448</v>
      </c>
      <c r="I17" s="23" t="str">
        <f aca="false">IF(AND(AND(ISNUMBER(G17),G17&lt;0,ISNUMBER(G16),G16&gt;=0),(A17=Tomato_Beds)),"&lt;- Cross-over &amp; Solver-selected",IF(AND(ISNUMBER(G17),G17&lt;0,ISNUMBER(G16),G16&gt;=0),"&lt;- Cross-over (next bed unprofitable)",IF((A17=Tomato_Beds),"&lt;- Solver-selected","")))</f>
        <v/>
      </c>
    </row>
    <row r="18" customFormat="false" ht="15" hidden="false" customHeight="false" outlineLevel="0" collapsed="false">
      <c r="A18" s="21" t="n">
        <f aca="false">ROW()-5</f>
        <v>13</v>
      </c>
      <c r="B18" s="17" t="n">
        <f aca="false">IF(A18&lt;=Tomato_Bed_Cap,A18*Tomato_Hours*Season*(1+Tomato_Dim_Return)^A18,"")</f>
        <v>4039.15732083993</v>
      </c>
      <c r="C18" s="17" t="n">
        <f aca="false">IF(A18&lt;=Tomato_Bed_Cap,B18-IF(ISNUMBER(B17),B17,0),"")</f>
        <v>649.654673981248</v>
      </c>
      <c r="D18" s="22" t="n">
        <f aca="false">IF(A18&lt;=Tomato_Bed_Cap,Tomato_Price,"")</f>
        <v>8800</v>
      </c>
      <c r="E18" s="22" t="n">
        <f aca="false">IF(A18&lt;=Tomato_Bed_Cap,Tomato_Fertizer,"")</f>
        <v>880</v>
      </c>
      <c r="F18" s="22" t="n">
        <f aca="false">IF(A18&lt;=Tomato_Bed_Cap,C18*Blended_Labor_Rate,"")</f>
        <v>12816.8409014348</v>
      </c>
      <c r="G18" s="22" t="n">
        <f aca="false">IF(A18&lt;=Tomato_Bed_Cap,D18-E18-F18,"")</f>
        <v>-4896.84090143475</v>
      </c>
      <c r="H18" s="22" t="n">
        <f aca="false">IF(A18&lt;=Tomato_Bed_Cap,IF(ISNUMBER(H17),H17,0)+G18,"")</f>
        <v>23272.68483021</v>
      </c>
      <c r="I18" s="23" t="str">
        <f aca="false">IF(AND(AND(ISNUMBER(G18),G18&lt;0,ISNUMBER(G17),G17&gt;=0),(A18=Tomato_Beds)),"&lt;- Cross-over &amp; Solver-selected",IF(AND(ISNUMBER(G18),G18&lt;0,ISNUMBER(G17),G17&gt;=0),"&lt;- Cross-over (next bed unprofitable)",IF((A18=Tomato_Beds),"&lt;- Solver-selected","")))</f>
        <v/>
      </c>
    </row>
    <row r="19" customFormat="false" ht="15" hidden="false" customHeight="false" outlineLevel="0" collapsed="false">
      <c r="A19" s="21" t="n">
        <f aca="false">ROW()-5</f>
        <v>14</v>
      </c>
      <c r="B19" s="17" t="n">
        <f aca="false">IF(A19&lt;=Tomato_Bed_Cap,A19*Tomato_Hours*Season*(1+Tomato_Dim_Return)^A19,"")</f>
        <v>4784.84790314884</v>
      </c>
      <c r="C19" s="17" t="n">
        <f aca="false">IF(A19&lt;=Tomato_Bed_Cap,B19-IF(ISNUMBER(B18),B18,0),"")</f>
        <v>745.690582308911</v>
      </c>
      <c r="D19" s="22" t="n">
        <f aca="false">IF(A19&lt;=Tomato_Bed_Cap,Tomato_Price,"")</f>
        <v>8800</v>
      </c>
      <c r="E19" s="22" t="n">
        <f aca="false">IF(A19&lt;=Tomato_Bed_Cap,Tomato_Fertizer,"")</f>
        <v>880</v>
      </c>
      <c r="F19" s="22" t="n">
        <f aca="false">IF(A19&lt;=Tomato_Bed_Cap,C19*Blended_Labor_Rate,"")</f>
        <v>14711.5043390382</v>
      </c>
      <c r="G19" s="22" t="n">
        <f aca="false">IF(A19&lt;=Tomato_Bed_Cap,D19-E19-F19,"")</f>
        <v>-6791.50433903816</v>
      </c>
      <c r="H19" s="22" t="n">
        <f aca="false">IF(A19&lt;=Tomato_Bed_Cap,IF(ISNUMBER(H18),H18,0)+G19,"")</f>
        <v>16481.1804911719</v>
      </c>
      <c r="I19" s="23" t="str">
        <f aca="false">IF(AND(AND(ISNUMBER(G19),G19&lt;0,ISNUMBER(G18),G18&gt;=0),(A19=Tomato_Beds)),"&lt;- Cross-over &amp; Solver-selected",IF(AND(ISNUMBER(G19),G19&lt;0,ISNUMBER(G18),G18&gt;=0),"&lt;- Cross-over (next bed unprofitable)",IF((A19=Tomato_Beds),"&lt;- Solver-selected","")))</f>
        <v/>
      </c>
    </row>
    <row r="20" customFormat="false" ht="15" hidden="false" customHeight="false" outlineLevel="0" collapsed="false">
      <c r="A20" s="21" t="n">
        <f aca="false">ROW()-5</f>
        <v>15</v>
      </c>
      <c r="B20" s="17" t="n">
        <f aca="false">IF(A20&lt;=Tomato_Bed_Cap,A20*Tomato_Hours*Season*(1+Tomato_Dim_Return)^A20,"")</f>
        <v>5639.28502871114</v>
      </c>
      <c r="C20" s="17" t="n">
        <f aca="false">IF(A20&lt;=Tomato_Bed_Cap,B20-IF(ISNUMBER(B19),B19,0),"")</f>
        <v>854.437125562294</v>
      </c>
      <c r="D20" s="22" t="n">
        <f aca="false">IF(A20&lt;=Tomato_Bed_Cap,Tomato_Price,"")</f>
        <v>8800</v>
      </c>
      <c r="E20" s="22" t="n">
        <f aca="false">IF(A20&lt;=Tomato_Bed_Cap,Tomato_Fertizer,"")</f>
        <v>880</v>
      </c>
      <c r="F20" s="22" t="n">
        <f aca="false">IF(A20&lt;=Tomato_Bed_Cap,C20*Blended_Labor_Rate,"")</f>
        <v>16856.9320551479</v>
      </c>
      <c r="G20" s="22" t="n">
        <f aca="false">IF(A20&lt;=Tomato_Bed_Cap,D20-E20-F20,"")</f>
        <v>-8936.93205514789</v>
      </c>
      <c r="H20" s="22" t="n">
        <f aca="false">IF(A20&lt;=Tomato_Bed_Cap,IF(ISNUMBER(H19),H19,0)+G20,"")</f>
        <v>7544.24843602399</v>
      </c>
      <c r="I20" s="23" t="str">
        <f aca="false">IF(AND(AND(ISNUMBER(G20),G20&lt;0,ISNUMBER(G19),G19&gt;=0),(A20=Tomato_Beds)),"&lt;- Cross-over &amp; Solver-selected",IF(AND(ISNUMBER(G20),G20&lt;0,ISNUMBER(G19),G19&gt;=0),"&lt;- Cross-over (next bed unprofitable)",IF((A20=Tomato_Beds),"&lt;- Solver-selected","")))</f>
        <v/>
      </c>
    </row>
    <row r="21" customFormat="false" ht="15" hidden="false" customHeight="false" outlineLevel="0" collapsed="false">
      <c r="A21" s="21" t="n">
        <f aca="false">ROW()-5</f>
        <v>16</v>
      </c>
      <c r="B21" s="17" t="n">
        <f aca="false">IF(A21&lt;=Tomato_Bed_Cap,A21*Tomato_Hours*Season*(1+Tomato_Dim_Return)^A21,"")</f>
        <v>6616.7611003544</v>
      </c>
      <c r="C21" s="17" t="n">
        <f aca="false">IF(A21&lt;=Tomato_Bed_Cap,B21-IF(ISNUMBER(B20),B20,0),"")</f>
        <v>977.476071643264</v>
      </c>
      <c r="D21" s="22" t="n">
        <f aca="false">IF(A21&lt;=Tomato_Bed_Cap,Tomato_Price,"")</f>
        <v>8800</v>
      </c>
      <c r="E21" s="22" t="n">
        <f aca="false">IF(A21&lt;=Tomato_Bed_Cap,Tomato_Fertizer,"")</f>
        <v>880</v>
      </c>
      <c r="F21" s="22" t="n">
        <f aca="false">IF(A21&lt;=Tomato_Bed_Cap,C21*Blended_Labor_Rate,"")</f>
        <v>19284.3302710892</v>
      </c>
      <c r="G21" s="22" t="n">
        <f aca="false">IF(A21&lt;=Tomato_Bed_Cap,D21-E21-F21,"")</f>
        <v>-11364.3302710892</v>
      </c>
      <c r="H21" s="22" t="n">
        <f aca="false">IF(A21&lt;=Tomato_Bed_Cap,IF(ISNUMBER(H20),H20,0)+G21,"")</f>
        <v>-3820.08183506519</v>
      </c>
      <c r="I21" s="23" t="str">
        <f aca="false">IF(AND(AND(ISNUMBER(G21),G21&lt;0,ISNUMBER(G20),G20&gt;=0),(A21=Tomato_Beds)),"&lt;- Cross-over &amp; Solver-selected",IF(AND(ISNUMBER(G21),G21&lt;0,ISNUMBER(G20),G20&gt;=0),"&lt;- Cross-over (next bed unprofitable)",IF((A21=Tomato_Beds),"&lt;- Solver-selected","")))</f>
        <v/>
      </c>
    </row>
    <row r="22" customFormat="false" ht="15" hidden="false" customHeight="false" outlineLevel="0" collapsed="false">
      <c r="A22" s="21" t="n">
        <f aca="false">ROW()-5</f>
        <v>17</v>
      </c>
      <c r="B22" s="17" t="n">
        <f aca="false">IF(A22&lt;=Tomato_Bed_Cap,A22*Tomato_Hours*Season*(1+Tomato_Dim_Return)^A22,"")</f>
        <v>7733.33953603921</v>
      </c>
      <c r="C22" s="17" t="n">
        <f aca="false">IF(A22&lt;=Tomato_Bed_Cap,B22-IF(ISNUMBER(B21),B21,0),"")</f>
        <v>1116.57843568481</v>
      </c>
      <c r="D22" s="22" t="n">
        <f aca="false">IF(A22&lt;=Tomato_Bed_Cap,Tomato_Price,"")</f>
        <v>8800</v>
      </c>
      <c r="E22" s="22" t="n">
        <f aca="false">IF(A22&lt;=Tomato_Bed_Cap,Tomato_Fertizer,"")</f>
        <v>880</v>
      </c>
      <c r="F22" s="22" t="n">
        <f aca="false">IF(A22&lt;=Tomato_Bed_Cap,C22*Blended_Labor_Rate,"")</f>
        <v>22028.6388096673</v>
      </c>
      <c r="G22" s="22" t="n">
        <f aca="false">IF(A22&lt;=Tomato_Bed_Cap,D22-E22-F22,"")</f>
        <v>-14108.6388096673</v>
      </c>
      <c r="H22" s="22" t="n">
        <f aca="false">IF(A22&lt;=Tomato_Bed_Cap,IF(ISNUMBER(H21),H21,0)+G22,"")</f>
        <v>-17928.7206447325</v>
      </c>
      <c r="I22" s="23" t="str">
        <f aca="false">IF(AND(AND(ISNUMBER(G22),G22&lt;0,ISNUMBER(G21),G21&gt;=0),(A22=Tomato_Beds)),"&lt;- Cross-over &amp; Solver-selected",IF(AND(ISNUMBER(G22),G22&lt;0,ISNUMBER(G21),G21&gt;=0),"&lt;- Cross-over (next bed unprofitable)",IF((A22=Tomato_Beds),"&lt;- Solver-selected","")))</f>
        <v/>
      </c>
    </row>
    <row r="23" customFormat="false" ht="15" hidden="false" customHeight="false" outlineLevel="0" collapsed="false">
      <c r="A23" s="21" t="n">
        <f aca="false">ROW()-5</f>
        <v>18</v>
      </c>
      <c r="B23" s="17" t="n">
        <f aca="false">IF(A23&lt;=Tomato_Bed_Cap,A23*Tomato_Hours*Season*(1+Tomato_Dim_Return)^A23,"")</f>
        <v>9007.06604785743</v>
      </c>
      <c r="C23" s="17" t="n">
        <f aca="false">IF(A23&lt;=Tomato_Bed_Cap,B23-IF(ISNUMBER(B22),B22,0),"")</f>
        <v>1273.72651181822</v>
      </c>
      <c r="D23" s="22" t="n">
        <f aca="false">IF(A23&lt;=Tomato_Bed_Cap,Tomato_Price,"")</f>
        <v>8800</v>
      </c>
      <c r="E23" s="22" t="n">
        <f aca="false">IF(A23&lt;=Tomato_Bed_Cap,Tomato_Fertizer,"")</f>
        <v>880</v>
      </c>
      <c r="F23" s="22" t="n">
        <f aca="false">IF(A23&lt;=Tomato_Bed_Cap,C23*Blended_Labor_Rate,"")</f>
        <v>25128.9657532501</v>
      </c>
      <c r="G23" s="22" t="n">
        <f aca="false">IF(A23&lt;=Tomato_Bed_Cap,D23-E23-F23,"")</f>
        <v>-17208.9657532501</v>
      </c>
      <c r="H23" s="22" t="n">
        <f aca="false">IF(A23&lt;=Tomato_Bed_Cap,IF(ISNUMBER(H22),H22,0)+G23,"")</f>
        <v>-35137.6863979825</v>
      </c>
      <c r="I23" s="23" t="str">
        <f aca="false">IF(AND(AND(ISNUMBER(G23),G23&lt;0,ISNUMBER(G22),G22&gt;=0),(A23=Tomato_Beds)),"&lt;- Cross-over &amp; Solver-selected",IF(AND(ISNUMBER(G23),G23&lt;0,ISNUMBER(G22),G22&gt;=0),"&lt;- Cross-over (next bed unprofitable)",IF((A23=Tomato_Beds),"&lt;- Solver-selected","")))</f>
        <v/>
      </c>
    </row>
    <row r="24" customFormat="false" ht="15" hidden="false" customHeight="false" outlineLevel="0" collapsed="false">
      <c r="A24" s="21" t="n">
        <f aca="false">ROW()-5</f>
        <v>19</v>
      </c>
      <c r="B24" s="17" t="n">
        <f aca="false">IF(A24&lt;=Tomato_Bed_Cap,A24*Tomato_Hours*Season*(1+Tomato_Dim_Return)^A24,"")</f>
        <v>10458.2044666789</v>
      </c>
      <c r="C24" s="17" t="n">
        <f aca="false">IF(A24&lt;=Tomato_Bed_Cap,B24-IF(ISNUMBER(B23),B23,0),"")</f>
        <v>1451.13841882148</v>
      </c>
      <c r="D24" s="22" t="n">
        <f aca="false">IF(A24&lt;=Tomato_Bed_Cap,Tomato_Price,"")</f>
        <v>8800</v>
      </c>
      <c r="E24" s="22" t="n">
        <f aca="false">IF(A24&lt;=Tomato_Bed_Cap,Tomato_Fertizer,"")</f>
        <v>880</v>
      </c>
      <c r="F24" s="22" t="n">
        <f aca="false">IF(A24&lt;=Tomato_Bed_Cap,C24*Blended_Labor_Rate,"")</f>
        <v>28629.0716974528</v>
      </c>
      <c r="G24" s="22" t="n">
        <f aca="false">IF(A24&lt;=Tomato_Bed_Cap,D24-E24-F24,"")</f>
        <v>-20709.0716974528</v>
      </c>
      <c r="H24" s="22" t="n">
        <f aca="false">IF(A24&lt;=Tomato_Bed_Cap,IF(ISNUMBER(H23),H23,0)+G24,"")</f>
        <v>-55846.7580954353</v>
      </c>
      <c r="I24" s="23" t="str">
        <f aca="false">IF(AND(AND(ISNUMBER(G24),G24&lt;0,ISNUMBER(G23),G23&gt;=0),(A24=Tomato_Beds)),"&lt;- Cross-over &amp; Solver-selected",IF(AND(ISNUMBER(G24),G24&lt;0,ISNUMBER(G23),G23&gt;=0),"&lt;- Cross-over (next bed unprofitable)",IF((A24=Tomato_Beds),"&lt;- Solver-selected","")))</f>
        <v/>
      </c>
    </row>
    <row r="25" customFormat="false" ht="15" hidden="false" customHeight="false" outlineLevel="0" collapsed="false">
      <c r="A25" s="21" t="n">
        <f aca="false">ROW()-5</f>
        <v>20</v>
      </c>
      <c r="B25" s="17" t="n">
        <f aca="false">IF(A25&lt;=Tomato_Bed_Cap,A25*Tomato_Hours*Season*(1+Tomato_Dim_Return)^A25,"")</f>
        <v>12109.4999087861</v>
      </c>
      <c r="C25" s="17" t="n">
        <f aca="false">IF(A25&lt;=Tomato_Bed_Cap,B25-IF(ISNUMBER(B24),B24,0),"")</f>
        <v>1651.2954421072</v>
      </c>
      <c r="D25" s="22" t="n">
        <f aca="false">IF(A25&lt;=Tomato_Bed_Cap,Tomato_Price,"")</f>
        <v>8800</v>
      </c>
      <c r="E25" s="22" t="n">
        <f aca="false">IF(A25&lt;=Tomato_Bed_Cap,Tomato_Fertizer,"")</f>
        <v>880</v>
      </c>
      <c r="F25" s="22" t="n">
        <f aca="false">IF(A25&lt;=Tomato_Bed_Cap,C25*Blended_Labor_Rate,"")</f>
        <v>32577.9091729635</v>
      </c>
      <c r="G25" s="22" t="n">
        <f aca="false">IF(A25&lt;=Tomato_Bed_Cap,D25-E25-F25,"")</f>
        <v>-24657.9091729635</v>
      </c>
      <c r="H25" s="22" t="n">
        <f aca="false">IF(A25&lt;=Tomato_Bed_Cap,IF(ISNUMBER(H24),H24,0)+G25,"")</f>
        <v>-80504.6672683988</v>
      </c>
      <c r="I25" s="23" t="str">
        <f aca="false">IF(AND(AND(ISNUMBER(G25),G25&lt;0,ISNUMBER(G24),G24&gt;=0),(A25=Tomato_Beds)),"&lt;- Cross-over &amp; Solver-selected",IF(AND(ISNUMBER(G25),G25&lt;0,ISNUMBER(G24),G24&gt;=0),"&lt;- Cross-over (next bed unprofitable)",IF((A25=Tomato_Beds),"&lt;- Solver-selected","")))</f>
        <v/>
      </c>
    </row>
    <row r="26" customFormat="false" ht="15" hidden="false" customHeight="false" outlineLevel="0" collapsed="false">
      <c r="A26" s="21" t="n">
        <f aca="false">ROW()-5</f>
        <v>21</v>
      </c>
      <c r="B26" s="17" t="str">
        <f aca="false">IF(A26&lt;=Tomato_Bed_Cap,A26*Tomato_Hours*Season*(1+Tomato_Dim_Return)^A26,"")</f>
        <v/>
      </c>
      <c r="C26" s="17" t="str">
        <f aca="false">IF(A26&lt;=Tomato_Bed_Cap,B26-IF(ISNUMBER(B25),B25,0),"")</f>
        <v/>
      </c>
      <c r="D26" s="22" t="str">
        <f aca="false">IF(A26&lt;=Tomato_Bed_Cap,Tomato_Price,"")</f>
        <v/>
      </c>
      <c r="E26" s="22" t="str">
        <f aca="false">IF(A26&lt;=Tomato_Bed_Cap,Tomato_Fertizer,"")</f>
        <v/>
      </c>
      <c r="F26" s="22" t="str">
        <f aca="false">IF(A26&lt;=Tomato_Bed_Cap,C26*Blended_Labor_Rate,"")</f>
        <v/>
      </c>
      <c r="G26" s="22" t="str">
        <f aca="false">IF(A26&lt;=Tomato_Bed_Cap,D26-E26-F26,"")</f>
        <v/>
      </c>
      <c r="H26" s="22" t="str">
        <f aca="false">IF(A26&lt;=Tomato_Bed_Cap,IF(ISNUMBER(H25),H25,0)+G26,"")</f>
        <v/>
      </c>
      <c r="I26" s="23" t="str">
        <f aca="false">IF(AND(AND(ISNUMBER(G26),G26&lt;0,ISNUMBER(G25),G25&gt;=0),(A26=Tomato_Beds)),"&lt;- Cross-over &amp; Solver-selected",IF(AND(ISNUMBER(G26),G26&lt;0,ISNUMBER(G25),G25&gt;=0),"&lt;- Cross-over (next bed unprofitable)",IF((A26=Tomato_Beds),"&lt;- Solver-selected","")))</f>
        <v/>
      </c>
    </row>
    <row r="27" customFormat="false" ht="15" hidden="false" customHeight="false" outlineLevel="0" collapsed="false">
      <c r="A27" s="21" t="n">
        <f aca="false">ROW()-5</f>
        <v>22</v>
      </c>
      <c r="B27" s="17" t="str">
        <f aca="false">IF(A27&lt;=Tomato_Bed_Cap,A27*Tomato_Hours*Season*(1+Tomato_Dim_Return)^A27,"")</f>
        <v/>
      </c>
      <c r="C27" s="17" t="str">
        <f aca="false">IF(A27&lt;=Tomato_Bed_Cap,B27-IF(ISNUMBER(B26),B26,0),"")</f>
        <v/>
      </c>
      <c r="D27" s="22" t="str">
        <f aca="false">IF(A27&lt;=Tomato_Bed_Cap,Tomato_Price,"")</f>
        <v/>
      </c>
      <c r="E27" s="22" t="str">
        <f aca="false">IF(A27&lt;=Tomato_Bed_Cap,Tomato_Fertizer,"")</f>
        <v/>
      </c>
      <c r="F27" s="22" t="str">
        <f aca="false">IF(A27&lt;=Tomato_Bed_Cap,C27*Blended_Labor_Rate,"")</f>
        <v/>
      </c>
      <c r="G27" s="22" t="str">
        <f aca="false">IF(A27&lt;=Tomato_Bed_Cap,D27-E27-F27,"")</f>
        <v/>
      </c>
      <c r="H27" s="22" t="str">
        <f aca="false">IF(A27&lt;=Tomato_Bed_Cap,IF(ISNUMBER(H26),H26,0)+G27,"")</f>
        <v/>
      </c>
      <c r="I27" s="23" t="str">
        <f aca="false">IF(AND(AND(ISNUMBER(G27),G27&lt;0,ISNUMBER(G26),G26&gt;=0),(A27=Tomato_Beds)),"&lt;- Cross-over &amp; Solver-selected",IF(AND(ISNUMBER(G27),G27&lt;0,ISNUMBER(G26),G26&gt;=0),"&lt;- Cross-over (next bed unprofitable)",IF((A27=Tomato_Beds),"&lt;- Solver-selected","")))</f>
        <v/>
      </c>
    </row>
    <row r="28" customFormat="false" ht="15" hidden="false" customHeight="false" outlineLevel="0" collapsed="false">
      <c r="A28" s="21" t="n">
        <f aca="false">ROW()-5</f>
        <v>23</v>
      </c>
      <c r="B28" s="17" t="str">
        <f aca="false">IF(A28&lt;=Tomato_Bed_Cap,A28*Tomato_Hours*Season*(1+Tomato_Dim_Return)^A28,"")</f>
        <v/>
      </c>
      <c r="C28" s="17" t="str">
        <f aca="false">IF(A28&lt;=Tomato_Bed_Cap,B28-IF(ISNUMBER(B27),B27,0),"")</f>
        <v/>
      </c>
      <c r="D28" s="22" t="str">
        <f aca="false">IF(A28&lt;=Tomato_Bed_Cap,Tomato_Price,"")</f>
        <v/>
      </c>
      <c r="E28" s="22" t="str">
        <f aca="false">IF(A28&lt;=Tomato_Bed_Cap,Tomato_Fertizer,"")</f>
        <v/>
      </c>
      <c r="F28" s="22" t="str">
        <f aca="false">IF(A28&lt;=Tomato_Bed_Cap,C28*Blended_Labor_Rate,"")</f>
        <v/>
      </c>
      <c r="G28" s="22" t="str">
        <f aca="false">IF(A28&lt;=Tomato_Bed_Cap,D28-E28-F28,"")</f>
        <v/>
      </c>
      <c r="H28" s="22" t="str">
        <f aca="false">IF(A28&lt;=Tomato_Bed_Cap,IF(ISNUMBER(H27),H27,0)+G28,"")</f>
        <v/>
      </c>
      <c r="I28" s="23" t="str">
        <f aca="false">IF(AND(AND(ISNUMBER(G28),G28&lt;0,ISNUMBER(G27),G27&gt;=0),(A28=Tomato_Beds)),"&lt;- Cross-over &amp; Solver-selected",IF(AND(ISNUMBER(G28),G28&lt;0,ISNUMBER(G27),G27&gt;=0),"&lt;- Cross-over (next bed unprofitable)",IF((A28=Tomato_Beds),"&lt;- Solver-selected","")))</f>
        <v/>
      </c>
    </row>
    <row r="29" customFormat="false" ht="15" hidden="false" customHeight="false" outlineLevel="0" collapsed="false">
      <c r="A29" s="21" t="n">
        <f aca="false">ROW()-5</f>
        <v>24</v>
      </c>
      <c r="B29" s="17" t="str">
        <f aca="false">IF(A29&lt;=Tomato_Bed_Cap,A29*Tomato_Hours*Season*(1+Tomato_Dim_Return)^A29,"")</f>
        <v/>
      </c>
      <c r="C29" s="17" t="str">
        <f aca="false">IF(A29&lt;=Tomato_Bed_Cap,B29-IF(ISNUMBER(B28),B28,0),"")</f>
        <v/>
      </c>
      <c r="D29" s="22" t="str">
        <f aca="false">IF(A29&lt;=Tomato_Bed_Cap,Tomato_Price,"")</f>
        <v/>
      </c>
      <c r="E29" s="22" t="str">
        <f aca="false">IF(A29&lt;=Tomato_Bed_Cap,Tomato_Fertizer,"")</f>
        <v/>
      </c>
      <c r="F29" s="22" t="str">
        <f aca="false">IF(A29&lt;=Tomato_Bed_Cap,C29*Blended_Labor_Rate,"")</f>
        <v/>
      </c>
      <c r="G29" s="22" t="str">
        <f aca="false">IF(A29&lt;=Tomato_Bed_Cap,D29-E29-F29,"")</f>
        <v/>
      </c>
      <c r="H29" s="22" t="str">
        <f aca="false">IF(A29&lt;=Tomato_Bed_Cap,IF(ISNUMBER(H28),H28,0)+G29,"")</f>
        <v/>
      </c>
      <c r="I29" s="23" t="str">
        <f aca="false">IF(AND(AND(ISNUMBER(G29),G29&lt;0,ISNUMBER(G28),G28&gt;=0),(A29=Tomato_Beds)),"&lt;- Cross-over &amp; Solver-selected",IF(AND(ISNUMBER(G29),G29&lt;0,ISNUMBER(G28),G28&gt;=0),"&lt;- Cross-over (next bed unprofitable)",IF((A29=Tomato_Beds),"&lt;- Solver-selected","")))</f>
        <v/>
      </c>
    </row>
    <row r="30" customFormat="false" ht="15" hidden="false" customHeight="false" outlineLevel="0" collapsed="false">
      <c r="A30" s="21" t="n">
        <f aca="false">ROW()-5</f>
        <v>25</v>
      </c>
      <c r="B30" s="17" t="str">
        <f aca="false">IF(A30&lt;=Tomato_Bed_Cap,A30*Tomato_Hours*Season*(1+Tomato_Dim_Return)^A30,"")</f>
        <v/>
      </c>
      <c r="C30" s="17" t="str">
        <f aca="false">IF(A30&lt;=Tomato_Bed_Cap,B30-IF(ISNUMBER(B29),B29,0),"")</f>
        <v/>
      </c>
      <c r="D30" s="22" t="str">
        <f aca="false">IF(A30&lt;=Tomato_Bed_Cap,Tomato_Price,"")</f>
        <v/>
      </c>
      <c r="E30" s="22" t="str">
        <f aca="false">IF(A30&lt;=Tomato_Bed_Cap,Tomato_Fertizer,"")</f>
        <v/>
      </c>
      <c r="F30" s="22" t="str">
        <f aca="false">IF(A30&lt;=Tomato_Bed_Cap,C30*Blended_Labor_Rate,"")</f>
        <v/>
      </c>
      <c r="G30" s="22" t="str">
        <f aca="false">IF(A30&lt;=Tomato_Bed_Cap,D30-E30-F30,"")</f>
        <v/>
      </c>
      <c r="H30" s="22" t="str">
        <f aca="false">IF(A30&lt;=Tomato_Bed_Cap,IF(ISNUMBER(H29),H29,0)+G30,"")</f>
        <v/>
      </c>
      <c r="I30" s="23" t="str">
        <f aca="false">IF(AND(AND(ISNUMBER(G30),G30&lt;0,ISNUMBER(G29),G29&gt;=0),(A30=Tomato_Beds)),"&lt;- Cross-over &amp; Solver-selected",IF(AND(ISNUMBER(G30),G30&lt;0,ISNUMBER(G29),G29&gt;=0),"&lt;- Cross-over (next bed unprofitable)",IF((A30=Tomato_Beds),"&lt;- Solver-selected","")))</f>
        <v/>
      </c>
    </row>
    <row r="31" customFormat="false" ht="15" hidden="false" customHeight="false" outlineLevel="0" collapsed="false">
      <c r="A31" s="21" t="n">
        <f aca="false">ROW()-5</f>
        <v>26</v>
      </c>
      <c r="B31" s="17" t="str">
        <f aca="false">IF(A31&lt;=Tomato_Bed_Cap,A31*Tomato_Hours*Season*(1+Tomato_Dim_Return)^A31,"")</f>
        <v/>
      </c>
      <c r="C31" s="17" t="str">
        <f aca="false">IF(A31&lt;=Tomato_Bed_Cap,B31-IF(ISNUMBER(B30),B30,0),"")</f>
        <v/>
      </c>
      <c r="D31" s="22" t="str">
        <f aca="false">IF(A31&lt;=Tomato_Bed_Cap,Tomato_Price,"")</f>
        <v/>
      </c>
      <c r="E31" s="22" t="str">
        <f aca="false">IF(A31&lt;=Tomato_Bed_Cap,Tomato_Fertizer,"")</f>
        <v/>
      </c>
      <c r="F31" s="22" t="str">
        <f aca="false">IF(A31&lt;=Tomato_Bed_Cap,C31*Blended_Labor_Rate,"")</f>
        <v/>
      </c>
      <c r="G31" s="22" t="str">
        <f aca="false">IF(A31&lt;=Tomato_Bed_Cap,D31-E31-F31,"")</f>
        <v/>
      </c>
      <c r="H31" s="22" t="str">
        <f aca="false">IF(A31&lt;=Tomato_Bed_Cap,IF(ISNUMBER(H30),H30,0)+G31,"")</f>
        <v/>
      </c>
      <c r="I31" s="23" t="str">
        <f aca="false">IF(AND(AND(ISNUMBER(G31),G31&lt;0,ISNUMBER(G30),G30&gt;=0),(A31=Tomato_Beds)),"&lt;- Cross-over &amp; Solver-selected",IF(AND(ISNUMBER(G31),G31&lt;0,ISNUMBER(G30),G30&gt;=0),"&lt;- Cross-over (next bed unprofitable)",IF((A31=Tomato_Beds),"&lt;- Solver-selected","")))</f>
        <v/>
      </c>
    </row>
    <row r="32" customFormat="false" ht="15" hidden="false" customHeight="false" outlineLevel="0" collapsed="false">
      <c r="A32" s="21" t="n">
        <f aca="false">ROW()-5</f>
        <v>27</v>
      </c>
      <c r="B32" s="17" t="str">
        <f aca="false">IF(A32&lt;=Tomato_Bed_Cap,A32*Tomato_Hours*Season*(1+Tomato_Dim_Return)^A32,"")</f>
        <v/>
      </c>
      <c r="C32" s="17" t="str">
        <f aca="false">IF(A32&lt;=Tomato_Bed_Cap,B32-IF(ISNUMBER(B31),B31,0),"")</f>
        <v/>
      </c>
      <c r="D32" s="22" t="str">
        <f aca="false">IF(A32&lt;=Tomato_Bed_Cap,Tomato_Price,"")</f>
        <v/>
      </c>
      <c r="E32" s="22" t="str">
        <f aca="false">IF(A32&lt;=Tomato_Bed_Cap,Tomato_Fertizer,"")</f>
        <v/>
      </c>
      <c r="F32" s="22" t="str">
        <f aca="false">IF(A32&lt;=Tomato_Bed_Cap,C32*Blended_Labor_Rate,"")</f>
        <v/>
      </c>
      <c r="G32" s="22" t="str">
        <f aca="false">IF(A32&lt;=Tomato_Bed_Cap,D32-E32-F32,"")</f>
        <v/>
      </c>
      <c r="H32" s="22" t="str">
        <f aca="false">IF(A32&lt;=Tomato_Bed_Cap,IF(ISNUMBER(H31),H31,0)+G32,"")</f>
        <v/>
      </c>
      <c r="I32" s="23" t="str">
        <f aca="false">IF(AND(AND(ISNUMBER(G32),G32&lt;0,ISNUMBER(G31),G31&gt;=0),(A32=Tomato_Beds)),"&lt;- Cross-over &amp; Solver-selected",IF(AND(ISNUMBER(G32),G32&lt;0,ISNUMBER(G31),G31&gt;=0),"&lt;- Cross-over (next bed unprofitable)",IF((A32=Tomato_Beds),"&lt;- Solver-selected","")))</f>
        <v/>
      </c>
    </row>
    <row r="33" customFormat="false" ht="15" hidden="false" customHeight="false" outlineLevel="0" collapsed="false">
      <c r="A33" s="21" t="n">
        <f aca="false">ROW()-5</f>
        <v>28</v>
      </c>
      <c r="B33" s="17" t="str">
        <f aca="false">IF(A33&lt;=Tomato_Bed_Cap,A33*Tomato_Hours*Season*(1+Tomato_Dim_Return)^A33,"")</f>
        <v/>
      </c>
      <c r="C33" s="17" t="str">
        <f aca="false">IF(A33&lt;=Tomato_Bed_Cap,B33-IF(ISNUMBER(B32),B32,0),"")</f>
        <v/>
      </c>
      <c r="D33" s="22" t="str">
        <f aca="false">IF(A33&lt;=Tomato_Bed_Cap,Tomato_Price,"")</f>
        <v/>
      </c>
      <c r="E33" s="22" t="str">
        <f aca="false">IF(A33&lt;=Tomato_Bed_Cap,Tomato_Fertizer,"")</f>
        <v/>
      </c>
      <c r="F33" s="22" t="str">
        <f aca="false">IF(A33&lt;=Tomato_Bed_Cap,C33*Blended_Labor_Rate,"")</f>
        <v/>
      </c>
      <c r="G33" s="22" t="str">
        <f aca="false">IF(A33&lt;=Tomato_Bed_Cap,D33-E33-F33,"")</f>
        <v/>
      </c>
      <c r="H33" s="22" t="str">
        <f aca="false">IF(A33&lt;=Tomato_Bed_Cap,IF(ISNUMBER(H32),H32,0)+G33,"")</f>
        <v/>
      </c>
      <c r="I33" s="23" t="str">
        <f aca="false">IF(AND(AND(ISNUMBER(G33),G33&lt;0,ISNUMBER(G32),G32&gt;=0),(A33=Tomato_Beds)),"&lt;- Cross-over &amp; Solver-selected",IF(AND(ISNUMBER(G33),G33&lt;0,ISNUMBER(G32),G32&gt;=0),"&lt;- Cross-over (next bed unprofitable)",IF((A33=Tomato_Beds),"&lt;- Solver-selected","")))</f>
        <v/>
      </c>
    </row>
    <row r="34" customFormat="false" ht="15" hidden="false" customHeight="false" outlineLevel="0" collapsed="false">
      <c r="A34" s="21" t="n">
        <f aca="false">ROW()-5</f>
        <v>29</v>
      </c>
      <c r="B34" s="17" t="str">
        <f aca="false">IF(A34&lt;=Tomato_Bed_Cap,A34*Tomato_Hours*Season*(1+Tomato_Dim_Return)^A34,"")</f>
        <v/>
      </c>
      <c r="C34" s="17" t="str">
        <f aca="false">IF(A34&lt;=Tomato_Bed_Cap,B34-IF(ISNUMBER(B33),B33,0),"")</f>
        <v/>
      </c>
      <c r="D34" s="22" t="str">
        <f aca="false">IF(A34&lt;=Tomato_Bed_Cap,Tomato_Price,"")</f>
        <v/>
      </c>
      <c r="E34" s="22" t="str">
        <f aca="false">IF(A34&lt;=Tomato_Bed_Cap,Tomato_Fertizer,"")</f>
        <v/>
      </c>
      <c r="F34" s="22" t="str">
        <f aca="false">IF(A34&lt;=Tomato_Bed_Cap,C34*Blended_Labor_Rate,"")</f>
        <v/>
      </c>
      <c r="G34" s="22" t="str">
        <f aca="false">IF(A34&lt;=Tomato_Bed_Cap,D34-E34-F34,"")</f>
        <v/>
      </c>
      <c r="H34" s="22" t="str">
        <f aca="false">IF(A34&lt;=Tomato_Bed_Cap,IF(ISNUMBER(H33),H33,0)+G34,"")</f>
        <v/>
      </c>
      <c r="I34" s="23" t="str">
        <f aca="false">IF(AND(AND(ISNUMBER(G34),G34&lt;0,ISNUMBER(G33),G33&gt;=0),(A34=Tomato_Beds)),"&lt;- Cross-over &amp; Solver-selected",IF(AND(ISNUMBER(G34),G34&lt;0,ISNUMBER(G33),G33&gt;=0),"&lt;- Cross-over (next bed unprofitable)",IF((A34=Tomato_Beds),"&lt;- Solver-selected","")))</f>
        <v/>
      </c>
    </row>
    <row r="35" customFormat="false" ht="15" hidden="false" customHeight="false" outlineLevel="0" collapsed="false">
      <c r="A35" s="21" t="n">
        <f aca="false">ROW()-5</f>
        <v>30</v>
      </c>
      <c r="B35" s="17" t="str">
        <f aca="false">IF(A35&lt;=Tomato_Bed_Cap,A35*Tomato_Hours*Season*(1+Tomato_Dim_Return)^A35,"")</f>
        <v/>
      </c>
      <c r="C35" s="17" t="str">
        <f aca="false">IF(A35&lt;=Tomato_Bed_Cap,B35-IF(ISNUMBER(B34),B34,0),"")</f>
        <v/>
      </c>
      <c r="D35" s="22" t="str">
        <f aca="false">IF(A35&lt;=Tomato_Bed_Cap,Tomato_Price,"")</f>
        <v/>
      </c>
      <c r="E35" s="22" t="str">
        <f aca="false">IF(A35&lt;=Tomato_Bed_Cap,Tomato_Fertizer,"")</f>
        <v/>
      </c>
      <c r="F35" s="22" t="str">
        <f aca="false">IF(A35&lt;=Tomato_Bed_Cap,C35*Blended_Labor_Rate,"")</f>
        <v/>
      </c>
      <c r="G35" s="22" t="str">
        <f aca="false">IF(A35&lt;=Tomato_Bed_Cap,D35-E35-F35,"")</f>
        <v/>
      </c>
      <c r="H35" s="22" t="str">
        <f aca="false">IF(A35&lt;=Tomato_Bed_Cap,IF(ISNUMBER(H34),H34,0)+G35,"")</f>
        <v/>
      </c>
      <c r="I35" s="23" t="str">
        <f aca="false">IF(AND(AND(ISNUMBER(G35),G35&lt;0,ISNUMBER(G34),G34&gt;=0),(A35=Tomato_Beds)),"&lt;- Cross-over &amp; Solver-selected",IF(AND(ISNUMBER(G35),G35&lt;0,ISNUMBER(G34),G34&gt;=0),"&lt;- Cross-over (next bed unprofitable)",IF((A35=Tomato_Beds),"&lt;- Solver-selected","")))</f>
        <v/>
      </c>
    </row>
    <row r="38" customFormat="false" ht="15" hidden="false" customHeight="false" outlineLevel="0" collapsed="false">
      <c r="A38" s="3" t="s">
        <v>12</v>
      </c>
      <c r="B38" s="3"/>
      <c r="C38" s="3"/>
      <c r="D38" s="3"/>
      <c r="E38" s="3"/>
      <c r="F38" s="3"/>
      <c r="G38" s="3"/>
      <c r="H38" s="3"/>
      <c r="I38" s="3"/>
    </row>
    <row r="39" customFormat="false" ht="52.2" hidden="false" customHeight="false" outlineLevel="0" collapsed="false">
      <c r="A39" s="4" t="s">
        <v>54</v>
      </c>
      <c r="B39" s="4" t="s">
        <v>55</v>
      </c>
      <c r="C39" s="4" t="s">
        <v>56</v>
      </c>
      <c r="D39" s="4" t="s">
        <v>57</v>
      </c>
      <c r="E39" s="4" t="s">
        <v>58</v>
      </c>
      <c r="F39" s="4" t="s">
        <v>59</v>
      </c>
      <c r="G39" s="4" t="s">
        <v>60</v>
      </c>
      <c r="H39" s="4" t="s">
        <v>61</v>
      </c>
      <c r="I39" s="4" t="s">
        <v>62</v>
      </c>
    </row>
    <row r="40" customFormat="false" ht="15" hidden="false" customHeight="false" outlineLevel="0" collapsed="false">
      <c r="A40" s="21" t="n">
        <f aca="false">ROW()-39</f>
        <v>1</v>
      </c>
      <c r="B40" s="17" t="n">
        <f aca="false">IF(A40&lt;=Carrot_Bed_Cap,A40*Carrrot_Hours*Season*(1+Carrot_Dim_Return)^A40,"")</f>
        <v>30.7377</v>
      </c>
      <c r="C40" s="17" t="n">
        <f aca="false">IF(A40&lt;=Carrot_Bed_Cap,B40,"")</f>
        <v>30.7377</v>
      </c>
      <c r="D40" s="22" t="n">
        <f aca="false">IF(A40&lt;=Carrot_Bed_Cap,Carrot_Price,"")</f>
        <v>2094</v>
      </c>
      <c r="E40" s="22" t="n">
        <f aca="false">IF(A40&lt;=Carrot_Bed_Cap,Carrot_Fertilizer,"")</f>
        <v>440</v>
      </c>
      <c r="F40" s="22" t="n">
        <f aca="false">IF(A40&lt;=Carrot_Bed_Cap,C40*Blended_Labor_Rate,"")</f>
        <v>606.414802131328</v>
      </c>
      <c r="G40" s="22" t="n">
        <f aca="false">IF(A40&lt;=Carrot_Bed_Cap,D40-E40-F40,"")</f>
        <v>1047.58519786867</v>
      </c>
      <c r="H40" s="22" t="n">
        <f aca="false">IF(A40&lt;=Carrot_Bed_Cap,G40,"")</f>
        <v>1047.58519786867</v>
      </c>
      <c r="I40" s="23" t="str">
        <f aca="false">IF((A40=Carrot_Beds),"&lt;- Solver-selected","")</f>
        <v/>
      </c>
    </row>
    <row r="41" customFormat="false" ht="15" hidden="false" customHeight="false" outlineLevel="0" collapsed="false">
      <c r="A41" s="21" t="n">
        <f aca="false">ROW()-39</f>
        <v>2</v>
      </c>
      <c r="B41" s="17" t="n">
        <f aca="false">IF(A41&lt;=Carrot_Bed_Cap,A41*Carrrot_Hours*Season*(1+Carrot_Dim_Return)^A41,"")</f>
        <v>63.012285</v>
      </c>
      <c r="C41" s="17" t="n">
        <f aca="false">IF(A41&lt;=Carrot_Bed_Cap,B41-IF(ISNUMBER(B40),B40,0),"")</f>
        <v>32.274585</v>
      </c>
      <c r="D41" s="22" t="n">
        <f aca="false">IF(A41&lt;=Carrot_Bed_Cap,Carrot_Price,"")</f>
        <v>2094</v>
      </c>
      <c r="E41" s="22" t="n">
        <f aca="false">IF(A41&lt;=Carrot_Bed_Cap,Carrot_Fertilizer,"")</f>
        <v>440</v>
      </c>
      <c r="F41" s="22" t="n">
        <f aca="false">IF(A41&lt;=Carrot_Bed_Cap,C41*Blended_Labor_Rate,"")</f>
        <v>636.735542237895</v>
      </c>
      <c r="G41" s="22" t="n">
        <f aca="false">IF(A41&lt;=Carrot_Bed_Cap,D41-E41-F41,"")</f>
        <v>1017.26445776211</v>
      </c>
      <c r="H41" s="22" t="n">
        <f aca="false">IF(A41&lt;=Carrot_Bed_Cap,IF(ISNUMBER(H40),H40,0)+G41,"")</f>
        <v>2064.84965563078</v>
      </c>
      <c r="I41" s="23" t="str">
        <f aca="false">IF(AND(AND(ISNUMBER(G41),G41&lt;0,ISNUMBER(G40),G40&gt;=0),(A41=Carrot_Beds)),"&lt;- Cross-over &amp; Solver-selected",IF(AND(ISNUMBER(G41),G41&lt;0,ISNUMBER(G40),G40&gt;=0),"&lt;- Cross-over (next bed unprofitable)",IF((A41=Carrot_Beds),"&lt;- Solver-selected","")))</f>
        <v/>
      </c>
    </row>
    <row r="42" customFormat="false" ht="15" hidden="false" customHeight="false" outlineLevel="0" collapsed="false">
      <c r="A42" s="21" t="n">
        <f aca="false">ROW()-39</f>
        <v>3</v>
      </c>
      <c r="B42" s="17" t="n">
        <f aca="false">IF(A42&lt;=Carrot_Bed_Cap,A42*Carrrot_Hours*Season*(1+Carrot_Dim_Return)^A42,"")</f>
        <v>96.8813881875</v>
      </c>
      <c r="C42" s="17" t="n">
        <f aca="false">IF(A42&lt;=Carrot_Bed_Cap,B42-IF(ISNUMBER(B41),B41,0),"")</f>
        <v>33.8691031875</v>
      </c>
      <c r="D42" s="22" t="n">
        <f aca="false">IF(A42&lt;=Carrot_Bed_Cap,Carrot_Price,"")</f>
        <v>2094</v>
      </c>
      <c r="E42" s="22" t="n">
        <f aca="false">IF(A42&lt;=Carrot_Bed_Cap,Carrot_Fertilizer,"")</f>
        <v>440</v>
      </c>
      <c r="F42" s="22" t="n">
        <f aca="false">IF(A42&lt;=Carrot_Bed_Cap,C42*Blended_Labor_Rate,"")</f>
        <v>668.193310098457</v>
      </c>
      <c r="G42" s="22" t="n">
        <f aca="false">IF(A42&lt;=Carrot_Bed_Cap,D42-E42-F42,"")</f>
        <v>985.806689901544</v>
      </c>
      <c r="H42" s="22" t="n">
        <f aca="false">IF(A42&lt;=Carrot_Bed_Cap,IF(ISNUMBER(H41),H41,0)+G42,"")</f>
        <v>3050.65634553232</v>
      </c>
      <c r="I42" s="23" t="str">
        <f aca="false">IF(AND(AND(ISNUMBER(G42),G42&lt;0,ISNUMBER(G41),G41&gt;=0),(A42=Carrot_Beds)),"&lt;- Cross-over &amp; Solver-selected",IF(AND(ISNUMBER(G42),G42&lt;0,ISNUMBER(G41),G41&gt;=0),"&lt;- Cross-over (next bed unprofitable)",IF((A42=Carrot_Beds),"&lt;- Solver-selected","")))</f>
        <v/>
      </c>
    </row>
    <row r="43" customFormat="false" ht="15" hidden="false" customHeight="false" outlineLevel="0" collapsed="false">
      <c r="A43" s="21" t="n">
        <f aca="false">ROW()-39</f>
        <v>4</v>
      </c>
      <c r="B43" s="17" t="n">
        <f aca="false">IF(A43&lt;=Carrot_Bed_Cap,A43*Carrrot_Hours*Season*(1+Carrot_Dim_Return)^A43,"")</f>
        <v>132.40456385625</v>
      </c>
      <c r="C43" s="17" t="n">
        <f aca="false">IF(A43&lt;=Carrot_Bed_Cap,B43-IF(ISNUMBER(B42),B42,0),"")</f>
        <v>35.52317566875</v>
      </c>
      <c r="D43" s="22" t="n">
        <f aca="false">IF(A43&lt;=Carrot_Bed_Cap,Carrot_Price,"")</f>
        <v>2094</v>
      </c>
      <c r="E43" s="22" t="n">
        <f aca="false">IF(A43&lt;=Carrot_Bed_Cap,Carrot_Fertilizer,"")</f>
        <v>440</v>
      </c>
      <c r="F43" s="22" t="n">
        <f aca="false">IF(A43&lt;=Carrot_Bed_Cap,C43*Blended_Labor_Rate,"")</f>
        <v>700.82600663815</v>
      </c>
      <c r="G43" s="22" t="n">
        <f aca="false">IF(A43&lt;=Carrot_Bed_Cap,D43-E43-F43,"")</f>
        <v>953.173993361851</v>
      </c>
      <c r="H43" s="22" t="n">
        <f aca="false">IF(A43&lt;=Carrot_Bed_Cap,IF(ISNUMBER(H42),H42,0)+G43,"")</f>
        <v>4003.83033889417</v>
      </c>
      <c r="I43" s="23" t="str">
        <f aca="false">IF(AND(AND(ISNUMBER(G43),G43&lt;0,ISNUMBER(G42),G42&gt;=0),(A43=Carrot_Beds)),"&lt;- Cross-over &amp; Solver-selected",IF(AND(ISNUMBER(G43),G43&lt;0,ISNUMBER(G42),G42&gt;=0),"&lt;- Cross-over (next bed unprofitable)",IF((A43=Carrot_Beds),"&lt;- Solver-selected","")))</f>
        <v/>
      </c>
    </row>
    <row r="44" customFormat="false" ht="15" hidden="false" customHeight="false" outlineLevel="0" collapsed="false">
      <c r="A44" s="21" t="n">
        <f aca="false">ROW()-39</f>
        <v>5</v>
      </c>
      <c r="B44" s="17" t="n">
        <f aca="false">IF(A44&lt;=Carrot_Bed_Cap,A44*Carrrot_Hours*Season*(1+Carrot_Dim_Return)^A44,"")</f>
        <v>169.64334744082</v>
      </c>
      <c r="C44" s="17" t="n">
        <f aca="false">IF(A44&lt;=Carrot_Bed_Cap,B44-IF(ISNUMBER(B43),B43,0),"")</f>
        <v>37.2387835845703</v>
      </c>
      <c r="D44" s="22" t="n">
        <f aca="false">IF(A44&lt;=Carrot_Bed_Cap,Carrot_Price,"")</f>
        <v>2094</v>
      </c>
      <c r="E44" s="22" t="n">
        <f aca="false">IF(A44&lt;=Carrot_Bed_Cap,Carrot_Fertilizer,"")</f>
        <v>440</v>
      </c>
      <c r="F44" s="22" t="n">
        <f aca="false">IF(A44&lt;=Carrot_Bed_Cap,C44*Blended_Labor_Rate,"")</f>
        <v>734.672717186014</v>
      </c>
      <c r="G44" s="22" t="n">
        <f aca="false">IF(A44&lt;=Carrot_Bed_Cap,D44-E44-F44,"")</f>
        <v>919.327282813986</v>
      </c>
      <c r="H44" s="22" t="n">
        <f aca="false">IF(A44&lt;=Carrot_Bed_Cap,IF(ISNUMBER(H43),H43,0)+G44,"")</f>
        <v>4923.15762170816</v>
      </c>
      <c r="I44" s="23" t="str">
        <f aca="false">IF(AND(AND(ISNUMBER(G44),G44&lt;0,ISNUMBER(G43),G43&gt;=0),(A44=Carrot_Beds)),"&lt;- Cross-over &amp; Solver-selected",IF(AND(ISNUMBER(G44),G44&lt;0,ISNUMBER(G43),G43&gt;=0),"&lt;- Cross-over (next bed unprofitable)",IF((A44=Carrot_Beds),"&lt;- Solver-selected","")))</f>
        <v/>
      </c>
    </row>
    <row r="45" customFormat="false" ht="15" hidden="false" customHeight="false" outlineLevel="0" collapsed="false">
      <c r="A45" s="21" t="n">
        <f aca="false">ROW()-39</f>
        <v>6</v>
      </c>
      <c r="B45" s="17" t="n">
        <f aca="false">IF(A45&lt;=Carrot_Bed_Cap,A45*Carrrot_Hours*Season*(1+Carrot_Dim_Return)^A45,"")</f>
        <v>208.661317352209</v>
      </c>
      <c r="C45" s="17" t="n">
        <f aca="false">IF(A45&lt;=Carrot_Bed_Cap,B45-IF(ISNUMBER(B44),B44,0),"")</f>
        <v>39.0179699113886</v>
      </c>
      <c r="D45" s="22" t="n">
        <f aca="false">IF(A45&lt;=Carrot_Bed_Cap,Carrot_Price,"")</f>
        <v>2094</v>
      </c>
      <c r="E45" s="22" t="n">
        <f aca="false">IF(A45&lt;=Carrot_Bed_Cap,Carrot_Fertilizer,"")</f>
        <v>440</v>
      </c>
      <c r="F45" s="22" t="n">
        <f aca="false">IF(A45&lt;=Carrot_Bed_Cap,C45*Blended_Labor_Rate,"")</f>
        <v>769.773747007123</v>
      </c>
      <c r="G45" s="22" t="n">
        <f aca="false">IF(A45&lt;=Carrot_Bed_Cap,D45-E45-F45,"")</f>
        <v>884.226252992877</v>
      </c>
      <c r="H45" s="22" t="n">
        <f aca="false">IF(A45&lt;=Carrot_Bed_Cap,IF(ISNUMBER(H44),H44,0)+G45,"")</f>
        <v>5807.38387470103</v>
      </c>
      <c r="I45" s="23" t="str">
        <f aca="false">IF(AND(AND(ISNUMBER(G45),G45&lt;0,ISNUMBER(G44),G44&gt;=0),(A45=Carrot_Beds)),"&lt;- Cross-over &amp; Solver-selected",IF(AND(ISNUMBER(G45),G45&lt;0,ISNUMBER(G44),G44&gt;=0),"&lt;- Cross-over (next bed unprofitable)",IF((A45=Carrot_Beds),"&lt;- Solver-selected","")))</f>
        <v/>
      </c>
    </row>
    <row r="46" customFormat="false" ht="15" hidden="false" customHeight="false" outlineLevel="0" collapsed="false">
      <c r="A46" s="21" t="n">
        <f aca="false">ROW()-39</f>
        <v>7</v>
      </c>
      <c r="B46" s="17" t="n">
        <f aca="false">IF(A46&lt;=Carrot_Bed_Cap,A46*Carrrot_Hours*Season*(1+Carrot_Dim_Return)^A46,"")</f>
        <v>249.524158667016</v>
      </c>
      <c r="C46" s="17" t="n">
        <f aca="false">IF(A46&lt;=Carrot_Bed_Cap,B46-IF(ISNUMBER(B45),B45,0),"")</f>
        <v>40.8628413148076</v>
      </c>
      <c r="D46" s="22" t="n">
        <f aca="false">IF(A46&lt;=Carrot_Bed_Cap,Carrot_Price,"")</f>
        <v>2094</v>
      </c>
      <c r="E46" s="22" t="n">
        <f aca="false">IF(A46&lt;=Carrot_Bed_Cap,Carrot_Fertilizer,"")</f>
        <v>440</v>
      </c>
      <c r="F46" s="22" t="n">
        <f aca="false">IF(A46&lt;=Carrot_Bed_Cap,C46*Blended_Labor_Rate,"")</f>
        <v>806.170657871048</v>
      </c>
      <c r="G46" s="22" t="n">
        <f aca="false">IF(A46&lt;=Carrot_Bed_Cap,D46-E46-F46,"")</f>
        <v>847.829342128952</v>
      </c>
      <c r="H46" s="22" t="n">
        <f aca="false">IF(A46&lt;=Carrot_Bed_Cap,IF(ISNUMBER(H45),H45,0)+G46,"")</f>
        <v>6655.21321682999</v>
      </c>
      <c r="I46" s="23" t="str">
        <f aca="false">IF(AND(AND(ISNUMBER(G46),G46&lt;0,ISNUMBER(G45),G45&gt;=0),(A46=Carrot_Beds)),"&lt;- Cross-over &amp; Solver-selected",IF(AND(ISNUMBER(G46),G46&lt;0,ISNUMBER(G45),G45&gt;=0),"&lt;- Cross-over (next bed unprofitable)",IF((A46=Carrot_Beds),"&lt;- Solver-selected","")))</f>
        <v/>
      </c>
    </row>
    <row r="47" customFormat="false" ht="15" hidden="false" customHeight="false" outlineLevel="0" collapsed="false">
      <c r="A47" s="21" t="n">
        <f aca="false">ROW()-39</f>
        <v>8</v>
      </c>
      <c r="B47" s="17" t="n">
        <f aca="false">IF(A47&lt;=Carrot_Bed_Cap,A47*Carrrot_Hours*Season*(1+Carrot_Dim_Return)^A47,"")</f>
        <v>292.299728724219</v>
      </c>
      <c r="C47" s="17" t="n">
        <f aca="false">IF(A47&lt;=Carrot_Bed_Cap,B47-IF(ISNUMBER(B46),B46,0),"")</f>
        <v>42.7755700572027</v>
      </c>
      <c r="D47" s="22" t="n">
        <f aca="false">IF(A47&lt;=Carrot_Bed_Cap,Carrot_Price,"")</f>
        <v>2094</v>
      </c>
      <c r="E47" s="22" t="n">
        <f aca="false">IF(A47&lt;=Carrot_Bed_Cap,Carrot_Fertilizer,"")</f>
        <v>440</v>
      </c>
      <c r="F47" s="22" t="n">
        <f aca="false">IF(A47&lt;=Carrot_Bed_Cap,C47*Blended_Labor_Rate,"")</f>
        <v>843.906305686286</v>
      </c>
      <c r="G47" s="22" t="n">
        <f aca="false">IF(A47&lt;=Carrot_Bed_Cap,D47-E47-F47,"")</f>
        <v>810.093694313714</v>
      </c>
      <c r="H47" s="22" t="n">
        <f aca="false">IF(A47&lt;=Carrot_Bed_Cap,IF(ISNUMBER(H46),H46,0)+G47,"")</f>
        <v>7465.3069111437</v>
      </c>
      <c r="I47" s="23" t="str">
        <f aca="false">IF(AND(AND(ISNUMBER(G47),G47&lt;0,ISNUMBER(G46),G46&gt;=0),(A47=Carrot_Beds)),"&lt;- Cross-over &amp; Solver-selected",IF(AND(ISNUMBER(G47),G47&lt;0,ISNUMBER(G46),G46&gt;=0),"&lt;- Cross-over (next bed unprofitable)",IF((A47=Carrot_Beds),"&lt;- Solver-selected","")))</f>
        <v/>
      </c>
    </row>
    <row r="48" customFormat="false" ht="15" hidden="false" customHeight="false" outlineLevel="0" collapsed="false">
      <c r="A48" s="21" t="n">
        <f aca="false">ROW()-39</f>
        <v>9</v>
      </c>
      <c r="B48" s="17" t="n">
        <f aca="false">IF(A48&lt;=Carrot_Bed_Cap,A48*Carrrot_Hours*Season*(1+Carrot_Dim_Return)^A48,"")</f>
        <v>337.058124685115</v>
      </c>
      <c r="C48" s="17" t="n">
        <f aca="false">IF(A48&lt;=Carrot_Bed_Cap,B48-IF(ISNUMBER(B47),B47,0),"")</f>
        <v>44.7583959608961</v>
      </c>
      <c r="D48" s="22" t="n">
        <f aca="false">IF(A48&lt;=Carrot_Bed_Cap,Carrot_Price,"")</f>
        <v>2094</v>
      </c>
      <c r="E48" s="22" t="n">
        <f aca="false">IF(A48&lt;=Carrot_Bed_Cap,Carrot_Fertilizer,"")</f>
        <v>440</v>
      </c>
      <c r="F48" s="22" t="n">
        <f aca="false">IF(A48&lt;=Carrot_Bed_Cap,C48*Blended_Labor_Rate,"")</f>
        <v>883.024879231122</v>
      </c>
      <c r="G48" s="22" t="n">
        <f aca="false">IF(A48&lt;=Carrot_Bed_Cap,D48-E48-F48,"")</f>
        <v>770.975120768878</v>
      </c>
      <c r="H48" s="22" t="n">
        <f aca="false">IF(A48&lt;=Carrot_Bed_Cap,IF(ISNUMBER(H47),H47,0)+G48,"")</f>
        <v>8236.28203191258</v>
      </c>
      <c r="I48" s="23" t="str">
        <f aca="false">IF(AND(AND(ISNUMBER(G48),G48&lt;0,ISNUMBER(G47),G47&gt;=0),(A48=Carrot_Beds)),"&lt;- Cross-over &amp; Solver-selected",IF(AND(ISNUMBER(G48),G48&lt;0,ISNUMBER(G47),G47&gt;=0),"&lt;- Cross-over (next bed unprofitable)",IF((A48=Carrot_Beds),"&lt;- Solver-selected","")))</f>
        <v/>
      </c>
    </row>
    <row r="49" customFormat="false" ht="15" hidden="false" customHeight="false" outlineLevel="0" collapsed="false">
      <c r="A49" s="21" t="n">
        <f aca="false">ROW()-39</f>
        <v>10</v>
      </c>
      <c r="B49" s="17" t="n">
        <f aca="false">IF(A49&lt;=Carrot_Bed_Cap,A49*Carrrot_Hours*Season*(1+Carrot_Dim_Return)^A49,"")</f>
        <v>383.871753113603</v>
      </c>
      <c r="C49" s="17" t="n">
        <f aca="false">IF(A49&lt;=Carrot_Bed_Cap,B49-IF(ISNUMBER(B48),B48,0),"")</f>
        <v>46.8136284284881</v>
      </c>
      <c r="D49" s="22" t="n">
        <f aca="false">IF(A49&lt;=Carrot_Bed_Cap,Carrot_Price,"")</f>
        <v>2094</v>
      </c>
      <c r="E49" s="22" t="n">
        <f aca="false">IF(A49&lt;=Carrot_Bed_Cap,Carrot_Fertilizer,"")</f>
        <v>440</v>
      </c>
      <c r="F49" s="22" t="n">
        <f aca="false">IF(A49&lt;=Carrot_Bed_Cap,C49*Blended_Labor_Rate,"")</f>
        <v>923.57194001214</v>
      </c>
      <c r="G49" s="22" t="n">
        <f aca="false">IF(A49&lt;=Carrot_Bed_Cap,D49-E49-F49,"")</f>
        <v>730.42805998786</v>
      </c>
      <c r="H49" s="22" t="n">
        <f aca="false">IF(A49&lt;=Carrot_Bed_Cap,IF(ISNUMBER(H48),H48,0)+G49,"")</f>
        <v>8966.71009190044</v>
      </c>
      <c r="I49" s="23" t="str">
        <f aca="false">IF(AND(AND(ISNUMBER(G49),G49&lt;0,ISNUMBER(G48),G48&gt;=0),(A49=Carrot_Beds)),"&lt;- Cross-over &amp; Solver-selected",IF(AND(ISNUMBER(G49),G49&lt;0,ISNUMBER(G48),G48&gt;=0),"&lt;- Cross-over (next bed unprofitable)",IF((A49=Carrot_Beds),"&lt;- Solver-selected","")))</f>
        <v/>
      </c>
    </row>
    <row r="50" customFormat="false" ht="15" hidden="false" customHeight="false" outlineLevel="0" collapsed="false">
      <c r="A50" s="21" t="n">
        <f aca="false">ROW()-39</f>
        <v>11</v>
      </c>
      <c r="B50" s="17" t="n">
        <f aca="false">IF(A50&lt;=Carrot_Bed_Cap,A50*Carrrot_Hours*Season*(1+Carrot_Dim_Return)^A50,"")</f>
        <v>432.815401635588</v>
      </c>
      <c r="C50" s="17" t="n">
        <f aca="false">IF(A50&lt;=Carrot_Bed_Cap,B50-IF(ISNUMBER(B49),B49,0),"")</f>
        <v>48.9436485219845</v>
      </c>
      <c r="D50" s="22" t="n">
        <f aca="false">IF(A50&lt;=Carrot_Bed_Cap,Carrot_Price,"")</f>
        <v>2094</v>
      </c>
      <c r="E50" s="22" t="n">
        <f aca="false">IF(A50&lt;=Carrot_Bed_Cap,Carrot_Fertilizer,"")</f>
        <v>440</v>
      </c>
      <c r="F50" s="22" t="n">
        <f aca="false">IF(A50&lt;=Carrot_Bed_Cap,C50*Blended_Labor_Rate,"")</f>
        <v>965.594463282695</v>
      </c>
      <c r="G50" s="22" t="n">
        <f aca="false">IF(A50&lt;=Carrot_Bed_Cap,D50-E50-F50,"")</f>
        <v>688.405536717305</v>
      </c>
      <c r="H50" s="22" t="n">
        <f aca="false">IF(A50&lt;=Carrot_Bed_Cap,IF(ISNUMBER(H49),H49,0)+G50,"")</f>
        <v>9655.11562861774</v>
      </c>
      <c r="I50" s="23" t="str">
        <f aca="false">IF(AND(AND(ISNUMBER(G50),G50&lt;0,ISNUMBER(G49),G49&gt;=0),(A50=Carrot_Beds)),"&lt;- Cross-over &amp; Solver-selected",IF(AND(ISNUMBER(G50),G50&lt;0,ISNUMBER(G49),G49&gt;=0),"&lt;- Cross-over (next bed unprofitable)",IF((A50=Carrot_Beds),"&lt;- Solver-selected","")))</f>
        <v/>
      </c>
    </row>
    <row r="51" customFormat="false" ht="15" hidden="false" customHeight="false" outlineLevel="0" collapsed="false">
      <c r="A51" s="21" t="n">
        <f aca="false">ROW()-39</f>
        <v>12</v>
      </c>
      <c r="B51" s="17" t="n">
        <f aca="false">IF(A51&lt;=Carrot_Bed_Cap,A51*Carrrot_Hours*Season*(1+Carrot_Dim_Return)^A51,"")</f>
        <v>483.966312737975</v>
      </c>
      <c r="C51" s="17" t="n">
        <f aca="false">IF(A51&lt;=Carrot_Bed_Cap,B51-IF(ISNUMBER(B50),B50,0),"")</f>
        <v>51.1509111023875</v>
      </c>
      <c r="D51" s="22" t="n">
        <f aca="false">IF(A51&lt;=Carrot_Bed_Cap,Carrot_Price,"")</f>
        <v>2094</v>
      </c>
      <c r="E51" s="22" t="n">
        <f aca="false">IF(A51&lt;=Carrot_Bed_Cap,Carrot_Fertilizer,"")</f>
        <v>440</v>
      </c>
      <c r="F51" s="22" t="n">
        <f aca="false">IF(A51&lt;=Carrot_Bed_Cap,C51*Blended_Labor_Rate,"")</f>
        <v>1009.14088025426</v>
      </c>
      <c r="G51" s="22" t="n">
        <f aca="false">IF(A51&lt;=Carrot_Bed_Cap,D51-E51-F51,"")</f>
        <v>644.859119745736</v>
      </c>
      <c r="H51" s="22" t="n">
        <f aca="false">IF(A51&lt;=Carrot_Bed_Cap,IF(ISNUMBER(H50),H50,0)+G51,"")</f>
        <v>10299.9747483635</v>
      </c>
      <c r="I51" s="23" t="str">
        <f aca="false">IF(AND(AND(ISNUMBER(G51),G51&lt;0,ISNUMBER(G50),G50&gt;=0),(A51=Carrot_Beds)),"&lt;- Cross-over &amp; Solver-selected",IF(AND(ISNUMBER(G51),G51&lt;0,ISNUMBER(G50),G50&gt;=0),"&lt;- Cross-over (next bed unprofitable)",IF((A51=Carrot_Beds),"&lt;- Solver-selected","")))</f>
        <v/>
      </c>
    </row>
    <row r="52" customFormat="false" ht="15" hidden="false" customHeight="false" outlineLevel="0" collapsed="false">
      <c r="A52" s="21" t="n">
        <f aca="false">ROW()-39</f>
        <v>13</v>
      </c>
      <c r="B52" s="17" t="n">
        <f aca="false">IF(A52&lt;=Carrot_Bed_Cap,A52*Carrrot_Hours*Season*(1+Carrot_Dim_Return)^A52,"")</f>
        <v>537.40425976946</v>
      </c>
      <c r="C52" s="17" t="n">
        <f aca="false">IF(A52&lt;=Carrot_Bed_Cap,B52-IF(ISNUMBER(B51),B51,0),"")</f>
        <v>53.4379470314847</v>
      </c>
      <c r="D52" s="22" t="n">
        <f aca="false">IF(A52&lt;=Carrot_Bed_Cap,Carrot_Price,"")</f>
        <v>2094</v>
      </c>
      <c r="E52" s="22" t="n">
        <f aca="false">IF(A52&lt;=Carrot_Bed_Cap,Carrot_Fertilizer,"")</f>
        <v>440</v>
      </c>
      <c r="F52" s="22" t="n">
        <f aca="false">IF(A52&lt;=Carrot_Bed_Cap,C52*Blended_Labor_Rate,"")</f>
        <v>1054.26112153486</v>
      </c>
      <c r="G52" s="22" t="n">
        <f aca="false">IF(A52&lt;=Carrot_Bed_Cap,D52-E52-F52,"")</f>
        <v>599.738878465136</v>
      </c>
      <c r="H52" s="22" t="n">
        <f aca="false">IF(A52&lt;=Carrot_Bed_Cap,IF(ISNUMBER(H51),H51,0)+G52,"")</f>
        <v>10899.7136268286</v>
      </c>
      <c r="I52" s="23" t="str">
        <f aca="false">IF(AND(AND(ISNUMBER(G52),G52&lt;0,ISNUMBER(G51),G51&gt;=0),(A52=Carrot_Beds)),"&lt;- Cross-over &amp; Solver-selected",IF(AND(ISNUMBER(G52),G52&lt;0,ISNUMBER(G51),G51&gt;=0),"&lt;- Cross-over (next bed unprofitable)",IF((A52=Carrot_Beds),"&lt;- Solver-selected","")))</f>
        <v/>
      </c>
    </row>
    <row r="53" customFormat="false" ht="15" hidden="false" customHeight="false" outlineLevel="0" collapsed="false">
      <c r="A53" s="21" t="n">
        <f aca="false">ROW()-39</f>
        <v>14</v>
      </c>
      <c r="B53" s="17" t="n">
        <f aca="false">IF(A53&lt;=Carrot_Bed_Cap,A53*Carrrot_Hours*Season*(1+Carrot_Dim_Return)^A53,"")</f>
        <v>593.211625207058</v>
      </c>
      <c r="C53" s="17" t="n">
        <f aca="false">IF(A53&lt;=Carrot_Bed_Cap,B53-IF(ISNUMBER(B52),B52,0),"")</f>
        <v>55.8073654375979</v>
      </c>
      <c r="D53" s="22" t="n">
        <f aca="false">IF(A53&lt;=Carrot_Bed_Cap,Carrot_Price,"")</f>
        <v>2094</v>
      </c>
      <c r="E53" s="22" t="n">
        <f aca="false">IF(A53&lt;=Carrot_Bed_Cap,Carrot_Fertilizer,"")</f>
        <v>440</v>
      </c>
      <c r="F53" s="22" t="n">
        <f aca="false">IF(A53&lt;=Carrot_Bed_Cap,C53*Blended_Labor_Rate,"")</f>
        <v>1101.00666182934</v>
      </c>
      <c r="G53" s="22" t="n">
        <f aca="false">IF(A53&lt;=Carrot_Bed_Cap,D53-E53-F53,"")</f>
        <v>552.993338170661</v>
      </c>
      <c r="H53" s="22" t="n">
        <f aca="false">IF(A53&lt;=Carrot_Bed_Cap,IF(ISNUMBER(H52),H52,0)+G53,"")</f>
        <v>11452.7069649993</v>
      </c>
      <c r="I53" s="23" t="str">
        <f aca="false">IF(AND(AND(ISNUMBER(G53),G53&lt;0,ISNUMBER(G52),G52&gt;=0),(A53=Carrot_Beds)),"&lt;- Cross-over &amp; Solver-selected",IF(AND(ISNUMBER(G53),G53&lt;0,ISNUMBER(G52),G52&gt;=0),"&lt;- Cross-over (next bed unprofitable)",IF((A53=Carrot_Beds),"&lt;- Solver-selected","")))</f>
        <v/>
      </c>
    </row>
    <row r="54" customFormat="false" ht="15" hidden="false" customHeight="false" outlineLevel="0" collapsed="false">
      <c r="A54" s="21" t="n">
        <f aca="false">ROW()-39</f>
        <v>15</v>
      </c>
      <c r="B54" s="17" t="n">
        <f aca="false">IF(A54&lt;=Carrot_Bed_Cap,A54*Carrrot_Hours*Season*(1+Carrot_Dim_Return)^A54,"")</f>
        <v>651.47348125418</v>
      </c>
      <c r="C54" s="17" t="n">
        <f aca="false">IF(A54&lt;=Carrot_Bed_Cap,B54-IF(ISNUMBER(B53),B53,0),"")</f>
        <v>58.2618560471217</v>
      </c>
      <c r="D54" s="22" t="n">
        <f aca="false">IF(A54&lt;=Carrot_Bed_Cap,Carrot_Price,"")</f>
        <v>2094</v>
      </c>
      <c r="E54" s="22" t="n">
        <f aca="false">IF(A54&lt;=Carrot_Bed_Cap,Carrot_Fertilizer,"")</f>
        <v>440</v>
      </c>
      <c r="F54" s="22" t="n">
        <f aca="false">IF(A54&lt;=Carrot_Bed_Cap,C54*Blended_Labor_Rate,"")</f>
        <v>1149.43056593757</v>
      </c>
      <c r="G54" s="22" t="n">
        <f aca="false">IF(A54&lt;=Carrot_Bed_Cap,D54-E54-F54,"")</f>
        <v>504.569434062431</v>
      </c>
      <c r="H54" s="22" t="n">
        <f aca="false">IF(A54&lt;=Carrot_Bed_Cap,IF(ISNUMBER(H53),H53,0)+G54,"")</f>
        <v>11957.2763990617</v>
      </c>
      <c r="I54" s="23" t="str">
        <f aca="false">IF(AND(AND(ISNUMBER(G54),G54&lt;0,ISNUMBER(G53),G53&gt;=0),(A54=Carrot_Beds)),"&lt;- Cross-over &amp; Solver-selected",IF(AND(ISNUMBER(G54),G54&lt;0,ISNUMBER(G53),G53&gt;=0),"&lt;- Cross-over (next bed unprofitable)",IF((A54=Carrot_Beds),"&lt;- Solver-selected","")))</f>
        <v/>
      </c>
    </row>
    <row r="55" customFormat="false" ht="15" hidden="false" customHeight="false" outlineLevel="0" collapsed="false">
      <c r="A55" s="21" t="n">
        <f aca="false">ROW()-39</f>
        <v>16</v>
      </c>
      <c r="B55" s="17" t="n">
        <f aca="false">IF(A55&lt;=Carrot_Bed_Cap,A55*Carrrot_Hours*Season*(1+Carrot_Dim_Return)^A55,"")</f>
        <v>712.277672837903</v>
      </c>
      <c r="C55" s="17" t="n">
        <f aca="false">IF(A55&lt;=Carrot_Bed_Cap,B55-IF(ISNUMBER(B54),B54,0),"")</f>
        <v>60.8041915837234</v>
      </c>
      <c r="D55" s="22" t="n">
        <f aca="false">IF(A55&lt;=Carrot_Bed_Cap,Carrot_Price,"")</f>
        <v>2094</v>
      </c>
      <c r="E55" s="22" t="n">
        <f aca="false">IF(A55&lt;=Carrot_Bed_Cap,Carrot_Fertilizer,"")</f>
        <v>440</v>
      </c>
      <c r="F55" s="22" t="n">
        <f aca="false">IF(A55&lt;=Carrot_Bed_Cap,C55*Blended_Labor_Rate,"")</f>
        <v>1199.58753608757</v>
      </c>
      <c r="G55" s="22" t="n">
        <f aca="false">IF(A55&lt;=Carrot_Bed_Cap,D55-E55-F55,"")</f>
        <v>454.412463912426</v>
      </c>
      <c r="H55" s="22" t="n">
        <f aca="false">IF(A55&lt;=Carrot_Bed_Cap,IF(ISNUMBER(H54),H54,0)+G55,"")</f>
        <v>12411.6888629741</v>
      </c>
      <c r="I55" s="23" t="str">
        <f aca="false">IF(AND(AND(ISNUMBER(G55),G55&lt;0,ISNUMBER(G54),G54&gt;=0),(A55=Carrot_Beds)),"&lt;- Cross-over &amp; Solver-selected",IF(AND(ISNUMBER(G55),G55&lt;0,ISNUMBER(G54),G54&gt;=0),"&lt;- Cross-over (next bed unprofitable)",IF((A55=Carrot_Beds),"&lt;- Solver-selected","")))</f>
        <v/>
      </c>
    </row>
    <row r="56" customFormat="false" ht="15" hidden="false" customHeight="false" outlineLevel="0" collapsed="false">
      <c r="A56" s="21" t="n">
        <f aca="false">ROW()-39</f>
        <v>17</v>
      </c>
      <c r="B56" s="17" t="n">
        <f aca="false">IF(A56&lt;=Carrot_Bed_Cap,A56*Carrrot_Hours*Season*(1+Carrot_Dim_Return)^A56,"")</f>
        <v>775.714903075029</v>
      </c>
      <c r="C56" s="17" t="n">
        <f aca="false">IF(A56&lt;=Carrot_Bed_Cap,B56-IF(ISNUMBER(B55),B55,0),"")</f>
        <v>63.4372302371256</v>
      </c>
      <c r="D56" s="22" t="n">
        <f aca="false">IF(A56&lt;=Carrot_Bed_Cap,Carrot_Price,"")</f>
        <v>2094</v>
      </c>
      <c r="E56" s="22" t="n">
        <f aca="false">IF(A56&lt;=Carrot_Bed_Cap,Carrot_Fertilizer,"")</f>
        <v>440</v>
      </c>
      <c r="F56" s="22" t="n">
        <f aca="false">IF(A56&lt;=Carrot_Bed_Cap,C56*Blended_Labor_Rate,"")</f>
        <v>1251.53396064136</v>
      </c>
      <c r="G56" s="22" t="n">
        <f aca="false">IF(A56&lt;=Carrot_Bed_Cap,D56-E56-F56,"")</f>
        <v>402.466039358636</v>
      </c>
      <c r="H56" s="22" t="n">
        <f aca="false">IF(A56&lt;=Carrot_Bed_Cap,IF(ISNUMBER(H55),H55,0)+G56,"")</f>
        <v>12814.1549023328</v>
      </c>
      <c r="I56" s="23" t="str">
        <f aca="false">IF(AND(AND(ISNUMBER(G56),G56&lt;0,ISNUMBER(G55),G55&gt;=0),(A56=Carrot_Beds)),"&lt;- Cross-over &amp; Solver-selected",IF(AND(ISNUMBER(G56),G56&lt;0,ISNUMBER(G55),G55&gt;=0),"&lt;- Cross-over (next bed unprofitable)",IF((A56=Carrot_Beds),"&lt;- Solver-selected","")))</f>
        <v/>
      </c>
    </row>
    <row r="57" customFormat="false" ht="15" hidden="false" customHeight="false" outlineLevel="0" collapsed="false">
      <c r="A57" s="21" t="n">
        <f aca="false">ROW()-39</f>
        <v>18</v>
      </c>
      <c r="B57" s="17" t="n">
        <f aca="false">IF(A57&lt;=Carrot_Bed_Cap,A57*Carrrot_Hours*Season*(1+Carrot_Dim_Return)^A57,"")</f>
        <v>841.878821278487</v>
      </c>
      <c r="C57" s="17" t="n">
        <f aca="false">IF(A57&lt;=Carrot_Bed_Cap,B57-IF(ISNUMBER(B56),B56,0),"")</f>
        <v>66.1639182034583</v>
      </c>
      <c r="D57" s="22" t="n">
        <f aca="false">IF(A57&lt;=Carrot_Bed_Cap,Carrot_Price,"")</f>
        <v>2094</v>
      </c>
      <c r="E57" s="22" t="n">
        <f aca="false">IF(A57&lt;=Carrot_Bed_Cap,Carrot_Fertilizer,"")</f>
        <v>440</v>
      </c>
      <c r="F57" s="22" t="n">
        <f aca="false">IF(A57&lt;=Carrot_Bed_Cap,C57*Blended_Labor_Rate,"")</f>
        <v>1305.32796421279</v>
      </c>
      <c r="G57" s="22" t="n">
        <f aca="false">IF(A57&lt;=Carrot_Bed_Cap,D57-E57-F57,"")</f>
        <v>348.672035787208</v>
      </c>
      <c r="H57" s="22" t="n">
        <f aca="false">IF(A57&lt;=Carrot_Bed_Cap,IF(ISNUMBER(H56),H56,0)+G57,"")</f>
        <v>13162.82693812</v>
      </c>
      <c r="I57" s="23" t="str">
        <f aca="false">IF(AND(AND(ISNUMBER(G57),G57&lt;0,ISNUMBER(G56),G56&gt;=0),(A57=Carrot_Beds)),"&lt;- Cross-over &amp; Solver-selected",IF(AND(ISNUMBER(G57),G57&lt;0,ISNUMBER(G56),G56&gt;=0),"&lt;- Cross-over (next bed unprofitable)",IF((A57=Carrot_Beds),"&lt;- Solver-selected","")))</f>
        <v/>
      </c>
    </row>
    <row r="58" customFormat="false" ht="15" hidden="false" customHeight="false" outlineLevel="0" collapsed="false">
      <c r="A58" s="21" t="n">
        <f aca="false">ROW()-39</f>
        <v>19</v>
      </c>
      <c r="B58" s="17" t="n">
        <f aca="false">IF(A58&lt;=Carrot_Bed_Cap,A58*Carrrot_Hours*Season*(1+Carrot_Dim_Return)^A58,"")</f>
        <v>910.866113577696</v>
      </c>
      <c r="C58" s="17" t="n">
        <f aca="false">IF(A58&lt;=Carrot_Bed_Cap,B58-IF(ISNUMBER(B57),B57,0),"")</f>
        <v>68.9872922992093</v>
      </c>
      <c r="D58" s="22" t="n">
        <f aca="false">IF(A58&lt;=Carrot_Bed_Cap,Carrot_Price,"")</f>
        <v>2094</v>
      </c>
      <c r="E58" s="22" t="n">
        <f aca="false">IF(A58&lt;=Carrot_Bed_Cap,Carrot_Fertilizer,"")</f>
        <v>440</v>
      </c>
      <c r="F58" s="22" t="n">
        <f aca="false">IF(A58&lt;=Carrot_Bed_Cap,C58*Blended_Labor_Rate,"")</f>
        <v>1361.02945923739</v>
      </c>
      <c r="G58" s="22" t="n">
        <f aca="false">IF(A58&lt;=Carrot_Bed_Cap,D58-E58-F58,"")</f>
        <v>292.970540762609</v>
      </c>
      <c r="H58" s="22" t="n">
        <f aca="false">IF(A58&lt;=Carrot_Bed_Cap,IF(ISNUMBER(H57),H57,0)+G58,"")</f>
        <v>13455.7974788826</v>
      </c>
      <c r="I58" s="23" t="str">
        <f aca="false">IF(AND(AND(ISNUMBER(G58),G58&lt;0,ISNUMBER(G57),G57&gt;=0),(A58=Carrot_Beds)),"&lt;- Cross-over &amp; Solver-selected",IF(AND(ISNUMBER(G58),G58&lt;0,ISNUMBER(G57),G57&gt;=0),"&lt;- Cross-over (next bed unprofitable)",IF((A58=Carrot_Beds),"&lt;- Solver-selected","")))</f>
        <v/>
      </c>
    </row>
    <row r="59" customFormat="false" ht="15" hidden="false" customHeight="false" outlineLevel="0" collapsed="false">
      <c r="A59" s="21" t="n">
        <f aca="false">ROW()-39</f>
        <v>20</v>
      </c>
      <c r="B59" s="17" t="n">
        <f aca="false">IF(A59&lt;=Carrot_Bed_Cap,A59*Carrrot_Hours*Season*(1+Carrot_Dim_Return)^A59,"")</f>
        <v>982.776596228567</v>
      </c>
      <c r="C59" s="17" t="n">
        <f aca="false">IF(A59&lt;=Carrot_Bed_Cap,B59-IF(ISNUMBER(B58),B58,0),"")</f>
        <v>71.9104826508706</v>
      </c>
      <c r="D59" s="22" t="n">
        <f aca="false">IF(A59&lt;=Carrot_Bed_Cap,Carrot_Price,"")</f>
        <v>2094</v>
      </c>
      <c r="E59" s="22" t="n">
        <f aca="false">IF(A59&lt;=Carrot_Bed_Cap,Carrot_Fertilizer,"")</f>
        <v>440</v>
      </c>
      <c r="F59" s="22" t="n">
        <f aca="false">IF(A59&lt;=Carrot_Bed_Cap,C59*Blended_Labor_Rate,"")</f>
        <v>1418.70019903558</v>
      </c>
      <c r="G59" s="22" t="n">
        <f aca="false">IF(A59&lt;=Carrot_Bed_Cap,D59-E59-F59,"")</f>
        <v>235.299800964419</v>
      </c>
      <c r="H59" s="22" t="n">
        <f aca="false">IF(A59&lt;=Carrot_Bed_Cap,IF(ISNUMBER(H58),H58,0)+G59,"")</f>
        <v>13691.097279847</v>
      </c>
      <c r="I59" s="23" t="str">
        <f aca="false">IF(AND(AND(ISNUMBER(G59),G59&lt;0,ISNUMBER(G58),G58&gt;=0),(A59=Carrot_Beds)),"&lt;- Cross-over &amp; Solver-selected",IF(AND(ISNUMBER(G59),G59&lt;0,ISNUMBER(G58),G58&gt;=0),"&lt;- Cross-over (next bed unprofitable)",IF((A59=Carrot_Beds),"&lt;- Solver-selected","")))</f>
        <v>&lt;- Solver-selected</v>
      </c>
    </row>
    <row r="60" customFormat="false" ht="15" hidden="false" customHeight="false" outlineLevel="0" collapsed="false">
      <c r="A60" s="21" t="n">
        <f aca="false">ROW()-39</f>
        <v>21</v>
      </c>
      <c r="B60" s="17" t="str">
        <f aca="false">IF(A60&lt;=Carrot_Bed_Cap,A60*Carrrot_Hours*Season*(1+Carrot_Dim_Return)^A60,"")</f>
        <v/>
      </c>
      <c r="C60" s="17" t="str">
        <f aca="false">IF(A60&lt;=Carrot_Bed_Cap,B60-IF(ISNUMBER(B59),B59,0),"")</f>
        <v/>
      </c>
      <c r="D60" s="22" t="str">
        <f aca="false">IF(A60&lt;=Carrot_Bed_Cap,Carrot_Price,"")</f>
        <v/>
      </c>
      <c r="E60" s="22" t="str">
        <f aca="false">IF(A60&lt;=Carrot_Bed_Cap,Carrot_Fertilizer,"")</f>
        <v/>
      </c>
      <c r="F60" s="22" t="str">
        <f aca="false">IF(A60&lt;=Carrot_Bed_Cap,C60*Blended_Labor_Rate,"")</f>
        <v/>
      </c>
      <c r="G60" s="22" t="str">
        <f aca="false">IF(A60&lt;=Carrot_Bed_Cap,D60-E60-F60,"")</f>
        <v/>
      </c>
      <c r="H60" s="22" t="str">
        <f aca="false">IF(A60&lt;=Carrot_Bed_Cap,IF(ISNUMBER(H59),H59,0)+G60,"")</f>
        <v/>
      </c>
      <c r="I60" s="23" t="str">
        <f aca="false">IF(AND(AND(ISNUMBER(G60),G60&lt;0,ISNUMBER(G59),G59&gt;=0),(A60=Carrot_Beds)),"&lt;- Cross-over &amp; Solver-selected",IF(AND(ISNUMBER(G60),G60&lt;0,ISNUMBER(G59),G59&gt;=0),"&lt;- Cross-over (next bed unprofitable)",IF((A60=Carrot_Beds),"&lt;- Solver-selected","")))</f>
        <v/>
      </c>
    </row>
    <row r="61" customFormat="false" ht="15" hidden="false" customHeight="false" outlineLevel="0" collapsed="false">
      <c r="A61" s="21" t="n">
        <f aca="false">ROW()-39</f>
        <v>22</v>
      </c>
      <c r="B61" s="17" t="str">
        <f aca="false">IF(A61&lt;=Carrot_Bed_Cap,A61*Carrrot_Hours*Season*(1+Carrot_Dim_Return)^A61,"")</f>
        <v/>
      </c>
      <c r="C61" s="17" t="str">
        <f aca="false">IF(A61&lt;=Carrot_Bed_Cap,B61-IF(ISNUMBER(B60),B60,0),"")</f>
        <v/>
      </c>
      <c r="D61" s="22" t="str">
        <f aca="false">IF(A61&lt;=Carrot_Bed_Cap,Carrot_Price,"")</f>
        <v/>
      </c>
      <c r="E61" s="22" t="str">
        <f aca="false">IF(A61&lt;=Carrot_Bed_Cap,Carrot_Fertilizer,"")</f>
        <v/>
      </c>
      <c r="F61" s="22" t="str">
        <f aca="false">IF(A61&lt;=Carrot_Bed_Cap,C61*Blended_Labor_Rate,"")</f>
        <v/>
      </c>
      <c r="G61" s="22" t="str">
        <f aca="false">IF(A61&lt;=Carrot_Bed_Cap,D61-E61-F61,"")</f>
        <v/>
      </c>
      <c r="H61" s="22" t="str">
        <f aca="false">IF(A61&lt;=Carrot_Bed_Cap,IF(ISNUMBER(H60),H60,0)+G61,"")</f>
        <v/>
      </c>
      <c r="I61" s="23" t="str">
        <f aca="false">IF(AND(AND(ISNUMBER(G61),G61&lt;0,ISNUMBER(G60),G60&gt;=0),(A61=Carrot_Beds)),"&lt;- Cross-over &amp; Solver-selected",IF(AND(ISNUMBER(G61),G61&lt;0,ISNUMBER(G60),G60&gt;=0),"&lt;- Cross-over (next bed unprofitable)",IF((A61=Carrot_Beds),"&lt;- Solver-selected","")))</f>
        <v/>
      </c>
    </row>
    <row r="62" customFormat="false" ht="15" hidden="false" customHeight="false" outlineLevel="0" collapsed="false">
      <c r="A62" s="21" t="n">
        <f aca="false">ROW()-39</f>
        <v>23</v>
      </c>
      <c r="B62" s="17" t="str">
        <f aca="false">IF(A62&lt;=Carrot_Bed_Cap,A62*Carrrot_Hours*Season*(1+Carrot_Dim_Return)^A62,"")</f>
        <v/>
      </c>
      <c r="C62" s="17" t="str">
        <f aca="false">IF(A62&lt;=Carrot_Bed_Cap,B62-IF(ISNUMBER(B61),B61,0),"")</f>
        <v/>
      </c>
      <c r="D62" s="22" t="str">
        <f aca="false">IF(A62&lt;=Carrot_Bed_Cap,Carrot_Price,"")</f>
        <v/>
      </c>
      <c r="E62" s="22" t="str">
        <f aca="false">IF(A62&lt;=Carrot_Bed_Cap,Carrot_Fertilizer,"")</f>
        <v/>
      </c>
      <c r="F62" s="22" t="str">
        <f aca="false">IF(A62&lt;=Carrot_Bed_Cap,C62*Blended_Labor_Rate,"")</f>
        <v/>
      </c>
      <c r="G62" s="22" t="str">
        <f aca="false">IF(A62&lt;=Carrot_Bed_Cap,D62-E62-F62,"")</f>
        <v/>
      </c>
      <c r="H62" s="22" t="str">
        <f aca="false">IF(A62&lt;=Carrot_Bed_Cap,IF(ISNUMBER(H61),H61,0)+G62,"")</f>
        <v/>
      </c>
      <c r="I62" s="23" t="str">
        <f aca="false">IF(AND(AND(ISNUMBER(G62),G62&lt;0,ISNUMBER(G61),G61&gt;=0),(A62=Carrot_Beds)),"&lt;- Cross-over &amp; Solver-selected",IF(AND(ISNUMBER(G62),G62&lt;0,ISNUMBER(G61),G61&gt;=0),"&lt;- Cross-over (next bed unprofitable)",IF((A62=Carrot_Beds),"&lt;- Solver-selected","")))</f>
        <v/>
      </c>
    </row>
    <row r="63" customFormat="false" ht="15" hidden="false" customHeight="false" outlineLevel="0" collapsed="false">
      <c r="A63" s="21" t="n">
        <f aca="false">ROW()-39</f>
        <v>24</v>
      </c>
      <c r="B63" s="17" t="str">
        <f aca="false">IF(A63&lt;=Carrot_Bed_Cap,A63*Carrrot_Hours*Season*(1+Carrot_Dim_Return)^A63,"")</f>
        <v/>
      </c>
      <c r="C63" s="17" t="str">
        <f aca="false">IF(A63&lt;=Carrot_Bed_Cap,B63-IF(ISNUMBER(B62),B62,0),"")</f>
        <v/>
      </c>
      <c r="D63" s="22" t="str">
        <f aca="false">IF(A63&lt;=Carrot_Bed_Cap,Carrot_Price,"")</f>
        <v/>
      </c>
      <c r="E63" s="22" t="str">
        <f aca="false">IF(A63&lt;=Carrot_Bed_Cap,Carrot_Fertilizer,"")</f>
        <v/>
      </c>
      <c r="F63" s="22" t="str">
        <f aca="false">IF(A63&lt;=Carrot_Bed_Cap,C63*Blended_Labor_Rate,"")</f>
        <v/>
      </c>
      <c r="G63" s="22" t="str">
        <f aca="false">IF(A63&lt;=Carrot_Bed_Cap,D63-E63-F63,"")</f>
        <v/>
      </c>
      <c r="H63" s="22" t="str">
        <f aca="false">IF(A63&lt;=Carrot_Bed_Cap,IF(ISNUMBER(H62),H62,0)+G63,"")</f>
        <v/>
      </c>
      <c r="I63" s="23" t="str">
        <f aca="false">IF(AND(AND(ISNUMBER(G63),G63&lt;0,ISNUMBER(G62),G62&gt;=0),(A63=Carrot_Beds)),"&lt;- Cross-over &amp; Solver-selected",IF(AND(ISNUMBER(G63),G63&lt;0,ISNUMBER(G62),G62&gt;=0),"&lt;- Cross-over (next bed unprofitable)",IF((A63=Carrot_Beds),"&lt;- Solver-selected","")))</f>
        <v/>
      </c>
    </row>
    <row r="64" customFormat="false" ht="15" hidden="false" customHeight="false" outlineLevel="0" collapsed="false">
      <c r="A64" s="21" t="n">
        <f aca="false">ROW()-39</f>
        <v>25</v>
      </c>
      <c r="B64" s="17" t="str">
        <f aca="false">IF(A64&lt;=Carrot_Bed_Cap,A64*Carrrot_Hours*Season*(1+Carrot_Dim_Return)^A64,"")</f>
        <v/>
      </c>
      <c r="C64" s="17" t="str">
        <f aca="false">IF(A64&lt;=Carrot_Bed_Cap,B64-IF(ISNUMBER(B63),B63,0),"")</f>
        <v/>
      </c>
      <c r="D64" s="22" t="str">
        <f aca="false">IF(A64&lt;=Carrot_Bed_Cap,Carrot_Price,"")</f>
        <v/>
      </c>
      <c r="E64" s="22" t="str">
        <f aca="false">IF(A64&lt;=Carrot_Bed_Cap,Carrot_Fertilizer,"")</f>
        <v/>
      </c>
      <c r="F64" s="22" t="str">
        <f aca="false">IF(A64&lt;=Carrot_Bed_Cap,C64*Blended_Labor_Rate,"")</f>
        <v/>
      </c>
      <c r="G64" s="22" t="str">
        <f aca="false">IF(A64&lt;=Carrot_Bed_Cap,D64-E64-F64,"")</f>
        <v/>
      </c>
      <c r="H64" s="22" t="str">
        <f aca="false">IF(A64&lt;=Carrot_Bed_Cap,IF(ISNUMBER(H63),H63,0)+G64,"")</f>
        <v/>
      </c>
      <c r="I64" s="23" t="str">
        <f aca="false">IF(AND(AND(ISNUMBER(G64),G64&lt;0,ISNUMBER(G63),G63&gt;=0),(A64=Carrot_Beds)),"&lt;- Cross-over &amp; Solver-selected",IF(AND(ISNUMBER(G64),G64&lt;0,ISNUMBER(G63),G63&gt;=0),"&lt;- Cross-over (next bed unprofitable)",IF((A64=Carrot_Beds),"&lt;- Solver-selected","")))</f>
        <v/>
      </c>
    </row>
    <row r="65" customFormat="false" ht="15" hidden="false" customHeight="false" outlineLevel="0" collapsed="false">
      <c r="A65" s="21" t="n">
        <f aca="false">ROW()-39</f>
        <v>26</v>
      </c>
      <c r="B65" s="17" t="str">
        <f aca="false">IF(A65&lt;=Carrot_Bed_Cap,A65*Carrrot_Hours*Season*(1+Carrot_Dim_Return)^A65,"")</f>
        <v/>
      </c>
      <c r="C65" s="17" t="str">
        <f aca="false">IF(A65&lt;=Carrot_Bed_Cap,B65-IF(ISNUMBER(B64),B64,0),"")</f>
        <v/>
      </c>
      <c r="D65" s="22" t="str">
        <f aca="false">IF(A65&lt;=Carrot_Bed_Cap,Carrot_Price,"")</f>
        <v/>
      </c>
      <c r="E65" s="22" t="str">
        <f aca="false">IF(A65&lt;=Carrot_Bed_Cap,Carrot_Fertilizer,"")</f>
        <v/>
      </c>
      <c r="F65" s="22" t="str">
        <f aca="false">IF(A65&lt;=Carrot_Bed_Cap,C65*Blended_Labor_Rate,"")</f>
        <v/>
      </c>
      <c r="G65" s="22" t="str">
        <f aca="false">IF(A65&lt;=Carrot_Bed_Cap,D65-E65-F65,"")</f>
        <v/>
      </c>
      <c r="H65" s="22" t="str">
        <f aca="false">IF(A65&lt;=Carrot_Bed_Cap,IF(ISNUMBER(H64),H64,0)+G65,"")</f>
        <v/>
      </c>
      <c r="I65" s="23" t="str">
        <f aca="false">IF(AND(AND(ISNUMBER(G65),G65&lt;0,ISNUMBER(G64),G64&gt;=0),(A65=Carrot_Beds)),"&lt;- Cross-over &amp; Solver-selected",IF(AND(ISNUMBER(G65),G65&lt;0,ISNUMBER(G64),G64&gt;=0),"&lt;- Cross-over (next bed unprofitable)",IF((A65=Carrot_Beds),"&lt;- Solver-selected","")))</f>
        <v/>
      </c>
    </row>
    <row r="66" customFormat="false" ht="15" hidden="false" customHeight="false" outlineLevel="0" collapsed="false">
      <c r="A66" s="21" t="n">
        <f aca="false">ROW()-39</f>
        <v>27</v>
      </c>
      <c r="B66" s="17" t="str">
        <f aca="false">IF(A66&lt;=Carrot_Bed_Cap,A66*Carrrot_Hours*Season*(1+Carrot_Dim_Return)^A66,"")</f>
        <v/>
      </c>
      <c r="C66" s="17" t="str">
        <f aca="false">IF(A66&lt;=Carrot_Bed_Cap,B66-IF(ISNUMBER(B65),B65,0),"")</f>
        <v/>
      </c>
      <c r="D66" s="22" t="str">
        <f aca="false">IF(A66&lt;=Carrot_Bed_Cap,Carrot_Price,"")</f>
        <v/>
      </c>
      <c r="E66" s="22" t="str">
        <f aca="false">IF(A66&lt;=Carrot_Bed_Cap,Carrot_Fertilizer,"")</f>
        <v/>
      </c>
      <c r="F66" s="22" t="str">
        <f aca="false">IF(A66&lt;=Carrot_Bed_Cap,C66*Blended_Labor_Rate,"")</f>
        <v/>
      </c>
      <c r="G66" s="22" t="str">
        <f aca="false">IF(A66&lt;=Carrot_Bed_Cap,D66-E66-F66,"")</f>
        <v/>
      </c>
      <c r="H66" s="22" t="str">
        <f aca="false">IF(A66&lt;=Carrot_Bed_Cap,IF(ISNUMBER(H65),H65,0)+G66,"")</f>
        <v/>
      </c>
      <c r="I66" s="23" t="str">
        <f aca="false">IF(AND(AND(ISNUMBER(G66),G66&lt;0,ISNUMBER(G65),G65&gt;=0),(A66=Carrot_Beds)),"&lt;- Cross-over &amp; Solver-selected",IF(AND(ISNUMBER(G66),G66&lt;0,ISNUMBER(G65),G65&gt;=0),"&lt;- Cross-over (next bed unprofitable)",IF((A66=Carrot_Beds),"&lt;- Solver-selected","")))</f>
        <v/>
      </c>
    </row>
    <row r="67" customFormat="false" ht="15" hidden="false" customHeight="false" outlineLevel="0" collapsed="false">
      <c r="A67" s="21" t="n">
        <f aca="false">ROW()-39</f>
        <v>28</v>
      </c>
      <c r="B67" s="17" t="str">
        <f aca="false">IF(A67&lt;=Carrot_Bed_Cap,A67*Carrrot_Hours*Season*(1+Carrot_Dim_Return)^A67,"")</f>
        <v/>
      </c>
      <c r="C67" s="17" t="str">
        <f aca="false">IF(A67&lt;=Carrot_Bed_Cap,B67-IF(ISNUMBER(B66),B66,0),"")</f>
        <v/>
      </c>
      <c r="D67" s="22" t="str">
        <f aca="false">IF(A67&lt;=Carrot_Bed_Cap,Carrot_Price,"")</f>
        <v/>
      </c>
      <c r="E67" s="22" t="str">
        <f aca="false">IF(A67&lt;=Carrot_Bed_Cap,Carrot_Fertilizer,"")</f>
        <v/>
      </c>
      <c r="F67" s="22" t="str">
        <f aca="false">IF(A67&lt;=Carrot_Bed_Cap,C67*Blended_Labor_Rate,"")</f>
        <v/>
      </c>
      <c r="G67" s="22" t="str">
        <f aca="false">IF(A67&lt;=Carrot_Bed_Cap,D67-E67-F67,"")</f>
        <v/>
      </c>
      <c r="H67" s="22" t="str">
        <f aca="false">IF(A67&lt;=Carrot_Bed_Cap,IF(ISNUMBER(H66),H66,0)+G67,"")</f>
        <v/>
      </c>
      <c r="I67" s="23" t="str">
        <f aca="false">IF(AND(AND(ISNUMBER(G67),G67&lt;0,ISNUMBER(G66),G66&gt;=0),(A67=Carrot_Beds)),"&lt;- Cross-over &amp; Solver-selected",IF(AND(ISNUMBER(G67),G67&lt;0,ISNUMBER(G66),G66&gt;=0),"&lt;- Cross-over (next bed unprofitable)",IF((A67=Carrot_Beds),"&lt;- Solver-selected","")))</f>
        <v/>
      </c>
    </row>
    <row r="68" customFormat="false" ht="15" hidden="false" customHeight="false" outlineLevel="0" collapsed="false">
      <c r="A68" s="21" t="n">
        <f aca="false">ROW()-39</f>
        <v>29</v>
      </c>
      <c r="B68" s="17" t="str">
        <f aca="false">IF(A68&lt;=Carrot_Bed_Cap,A68*Carrrot_Hours*Season*(1+Carrot_Dim_Return)^A68,"")</f>
        <v/>
      </c>
      <c r="C68" s="17" t="str">
        <f aca="false">IF(A68&lt;=Carrot_Bed_Cap,B68-IF(ISNUMBER(B67),B67,0),"")</f>
        <v/>
      </c>
      <c r="D68" s="22" t="str">
        <f aca="false">IF(A68&lt;=Carrot_Bed_Cap,Carrot_Price,"")</f>
        <v/>
      </c>
      <c r="E68" s="22" t="str">
        <f aca="false">IF(A68&lt;=Carrot_Bed_Cap,Carrot_Fertilizer,"")</f>
        <v/>
      </c>
      <c r="F68" s="22" t="str">
        <f aca="false">IF(A68&lt;=Carrot_Bed_Cap,C68*Blended_Labor_Rate,"")</f>
        <v/>
      </c>
      <c r="G68" s="22" t="str">
        <f aca="false">IF(A68&lt;=Carrot_Bed_Cap,D68-E68-F68,"")</f>
        <v/>
      </c>
      <c r="H68" s="22" t="str">
        <f aca="false">IF(A68&lt;=Carrot_Bed_Cap,IF(ISNUMBER(H67),H67,0)+G68,"")</f>
        <v/>
      </c>
      <c r="I68" s="23" t="str">
        <f aca="false">IF(AND(AND(ISNUMBER(G68),G68&lt;0,ISNUMBER(G67),G67&gt;=0),(A68=Carrot_Beds)),"&lt;- Cross-over &amp; Solver-selected",IF(AND(ISNUMBER(G68),G68&lt;0,ISNUMBER(G67),G67&gt;=0),"&lt;- Cross-over (next bed unprofitable)",IF((A68=Carrot_Beds),"&lt;- Solver-selected","")))</f>
        <v/>
      </c>
    </row>
    <row r="69" customFormat="false" ht="15" hidden="false" customHeight="false" outlineLevel="0" collapsed="false">
      <c r="A69" s="21" t="n">
        <f aca="false">ROW()-39</f>
        <v>30</v>
      </c>
      <c r="B69" s="17" t="str">
        <f aca="false">IF(A69&lt;=Carrot_Bed_Cap,A69*Carrrot_Hours*Season*(1+Carrot_Dim_Return)^A69,"")</f>
        <v/>
      </c>
      <c r="C69" s="17" t="str">
        <f aca="false">IF(A69&lt;=Carrot_Bed_Cap,B69-IF(ISNUMBER(B68),B68,0),"")</f>
        <v/>
      </c>
      <c r="D69" s="22" t="str">
        <f aca="false">IF(A69&lt;=Carrot_Bed_Cap,Carrot_Price,"")</f>
        <v/>
      </c>
      <c r="E69" s="22" t="str">
        <f aca="false">IF(A69&lt;=Carrot_Bed_Cap,Carrot_Fertilizer,"")</f>
        <v/>
      </c>
      <c r="F69" s="22" t="str">
        <f aca="false">IF(A69&lt;=Carrot_Bed_Cap,C69*Blended_Labor_Rate,"")</f>
        <v/>
      </c>
      <c r="G69" s="22" t="str">
        <f aca="false">IF(A69&lt;=Carrot_Bed_Cap,D69-E69-F69,"")</f>
        <v/>
      </c>
      <c r="H69" s="22" t="str">
        <f aca="false">IF(A69&lt;=Carrot_Bed_Cap,IF(ISNUMBER(H68),H68,0)+G69,"")</f>
        <v/>
      </c>
      <c r="I69" s="23" t="str">
        <f aca="false">IF(AND(AND(ISNUMBER(G69),G69&lt;0,ISNUMBER(G68),G68&gt;=0),(A69=Carrot_Beds)),"&lt;- Cross-over &amp; Solver-selected",IF(AND(ISNUMBER(G69),G69&lt;0,ISNUMBER(G68),G68&gt;=0),"&lt;- Cross-over (next bed unprofitable)",IF((A69=Carrot_Beds),"&lt;- Solver-selected","")))</f>
        <v/>
      </c>
    </row>
    <row r="72" customFormat="false" ht="15" hidden="false" customHeight="false" outlineLevel="0" collapsed="false">
      <c r="A72" s="3" t="s">
        <v>13</v>
      </c>
      <c r="B72" s="3"/>
      <c r="C72" s="3"/>
      <c r="D72" s="3"/>
      <c r="E72" s="3"/>
      <c r="F72" s="3"/>
      <c r="G72" s="3"/>
      <c r="H72" s="3"/>
      <c r="I72" s="3"/>
    </row>
    <row r="73" customFormat="false" ht="52.2" hidden="false" customHeight="false" outlineLevel="0" collapsed="false">
      <c r="A73" s="4" t="s">
        <v>54</v>
      </c>
      <c r="B73" s="4" t="s">
        <v>55</v>
      </c>
      <c r="C73" s="4" t="s">
        <v>56</v>
      </c>
      <c r="D73" s="4" t="s">
        <v>57</v>
      </c>
      <c r="E73" s="4" t="s">
        <v>58</v>
      </c>
      <c r="F73" s="4" t="s">
        <v>59</v>
      </c>
      <c r="G73" s="4" t="s">
        <v>60</v>
      </c>
      <c r="H73" s="4" t="s">
        <v>61</v>
      </c>
      <c r="I73" s="4" t="s">
        <v>62</v>
      </c>
    </row>
    <row r="74" customFormat="false" ht="15" hidden="false" customHeight="false" outlineLevel="0" collapsed="false">
      <c r="A74" s="21" t="n">
        <f aca="false">ROW()-73</f>
        <v>1</v>
      </c>
      <c r="B74" s="17" t="n">
        <f aca="false">IF(A74&lt;=Mesclun_Bed_Cap,A74*Mesclun_Hours*Season*(1+Mesclun_Dim_Return)^A74,"")</f>
        <v>45.5625</v>
      </c>
      <c r="C74" s="17" t="n">
        <f aca="false">IF(A74&lt;=Mesclun_Bed_Cap,B74,"")</f>
        <v>45.5625</v>
      </c>
      <c r="D74" s="22" t="n">
        <f aca="false">IF(A74&lt;=Mesclun_Bed_Cap,Mesclun_Price,"")</f>
        <v>2700</v>
      </c>
      <c r="E74" s="22" t="n">
        <f aca="false">IF(A74&lt;=Mesclun_Bed_Cap,Mesclun_Fertilizer,"")</f>
        <v>880</v>
      </c>
      <c r="F74" s="22" t="n">
        <f aca="false">IF(A74&lt;=Mesclun_Bed_Cap,C74*Blended_Labor_Rate,"")</f>
        <v>898.888805021477</v>
      </c>
      <c r="G74" s="22" t="n">
        <f aca="false">IF(A74&lt;=Mesclun_Bed_Cap,D74-E74-F74,"")</f>
        <v>921.111194978523</v>
      </c>
      <c r="H74" s="22" t="n">
        <f aca="false">IF(A74&lt;=Mesclun_Bed_Cap,G74,"")</f>
        <v>921.111194978523</v>
      </c>
      <c r="I74" s="23" t="str">
        <f aca="false">IF((A74=Mesclun_Beds),"&lt;- Solver-selected","")</f>
        <v/>
      </c>
    </row>
    <row r="75" customFormat="false" ht="15" hidden="false" customHeight="false" outlineLevel="0" collapsed="false">
      <c r="A75" s="21" t="n">
        <f aca="false">ROW()-73</f>
        <v>2</v>
      </c>
      <c r="B75" s="17" t="n">
        <f aca="false">IF(A75&lt;=Mesclun_Bed_Cap,A75*Mesclun_Hours*Season*(1+Mesclun_Dim_Return)^A75,"")</f>
        <v>92.2640625</v>
      </c>
      <c r="C75" s="17" t="n">
        <f aca="false">IF(A75&lt;=Mesclun_Bed_Cap,B75-IF(ISNUMBER(B74),B74,0),"")</f>
        <v>46.7015625</v>
      </c>
      <c r="D75" s="22" t="n">
        <f aca="false">IF(A75&lt;=Mesclun_Bed_Cap,Mesclun_Price,"")</f>
        <v>2700</v>
      </c>
      <c r="E75" s="22" t="n">
        <f aca="false">IF(A75&lt;=Mesclun_Bed_Cap,Mesclun_Fertilizer,"")</f>
        <v>880</v>
      </c>
      <c r="F75" s="22" t="n">
        <f aca="false">IF(A75&lt;=Mesclun_Bed_Cap,C75*Blended_Labor_Rate,"")</f>
        <v>921.361025147014</v>
      </c>
      <c r="G75" s="22" t="n">
        <f aca="false">IF(A75&lt;=Mesclun_Bed_Cap,D75-E75-F75,"")</f>
        <v>898.638974852987</v>
      </c>
      <c r="H75" s="22" t="n">
        <f aca="false">IF(A75&lt;=Mesclun_Bed_Cap,IF(ISNUMBER(H74),H74,0)+G75,"")</f>
        <v>1819.75016983151</v>
      </c>
      <c r="I75" s="23" t="str">
        <f aca="false">IF(AND(AND(ISNUMBER(G75),G75&lt;0,ISNUMBER(G74),G74&gt;=0),(A75=Mesclun_Beds)),"&lt;- Cross-over &amp; Solver-selected",IF(AND(ISNUMBER(G75),G75&lt;0,ISNUMBER(G74),G74&gt;=0),"&lt;- Cross-over (next bed unprofitable)",IF((A75=Mesclun_Beds),"&lt;- Solver-selected","")))</f>
        <v/>
      </c>
    </row>
    <row r="76" customFormat="false" ht="15" hidden="false" customHeight="false" outlineLevel="0" collapsed="false">
      <c r="A76" s="21" t="n">
        <f aca="false">ROW()-73</f>
        <v>3</v>
      </c>
      <c r="B76" s="17" t="n">
        <f aca="false">IF(A76&lt;=Mesclun_Bed_Cap,A76*Mesclun_Hours*Season*(1+Mesclun_Dim_Return)^A76,"")</f>
        <v>140.126044921875</v>
      </c>
      <c r="C76" s="17" t="n">
        <f aca="false">IF(A76&lt;=Mesclun_Bed_Cap,B76-IF(ISNUMBER(B75),B75,0),"")</f>
        <v>47.861982421875</v>
      </c>
      <c r="D76" s="22" t="n">
        <f aca="false">IF(A76&lt;=Mesclun_Bed_Cap,Mesclun_Price,"")</f>
        <v>2700</v>
      </c>
      <c r="E76" s="22" t="n">
        <f aca="false">IF(A76&lt;=Mesclun_Bed_Cap,Mesclun_Fertilizer,"")</f>
        <v>880</v>
      </c>
      <c r="F76" s="22" t="n">
        <f aca="false">IF(A76&lt;=Mesclun_Bed_Cap,C76*Blended_Labor_Rate,"")</f>
        <v>944.254599399904</v>
      </c>
      <c r="G76" s="22" t="n">
        <f aca="false">IF(A76&lt;=Mesclun_Bed_Cap,D76-E76-F76,"")</f>
        <v>875.745400600096</v>
      </c>
      <c r="H76" s="22" t="n">
        <f aca="false">IF(A76&lt;=Mesclun_Bed_Cap,IF(ISNUMBER(H75),H75,0)+G76,"")</f>
        <v>2695.49557043161</v>
      </c>
      <c r="I76" s="23" t="str">
        <f aca="false">IF(AND(AND(ISNUMBER(G76),G76&lt;0,ISNUMBER(G75),G75&gt;=0),(A76=Mesclun_Beds)),"&lt;- Cross-over &amp; Solver-selected",IF(AND(ISNUMBER(G76),G76&lt;0,ISNUMBER(G75),G75&gt;=0),"&lt;- Cross-over (next bed unprofitable)",IF((A76=Mesclun_Beds),"&lt;- Solver-selected","")))</f>
        <v/>
      </c>
    </row>
    <row r="77" customFormat="false" ht="15" hidden="false" customHeight="false" outlineLevel="0" collapsed="false">
      <c r="A77" s="21" t="n">
        <f aca="false">ROW()-73</f>
        <v>4</v>
      </c>
      <c r="B77" s="17" t="n">
        <f aca="false">IF(A77&lt;=Mesclun_Bed_Cap,A77*Mesclun_Hours*Season*(1+Mesclun_Dim_Return)^A77,"")</f>
        <v>189.170160644531</v>
      </c>
      <c r="C77" s="17" t="n">
        <f aca="false">IF(A77&lt;=Mesclun_Bed_Cap,B77-IF(ISNUMBER(B76),B76,0),"")</f>
        <v>49.0441157226562</v>
      </c>
      <c r="D77" s="22" t="n">
        <f aca="false">IF(A77&lt;=Mesclun_Bed_Cap,Mesclun_Price,"")</f>
        <v>2700</v>
      </c>
      <c r="E77" s="22" t="n">
        <f aca="false">IF(A77&lt;=Mesclun_Bed_Cap,Mesclun_Fertilizer,"")</f>
        <v>880</v>
      </c>
      <c r="F77" s="22" t="n">
        <f aca="false">IF(A77&lt;=Mesclun_Bed_Cap,C77*Blended_Labor_Rate,"")</f>
        <v>967.576550348937</v>
      </c>
      <c r="G77" s="22" t="n">
        <f aca="false">IF(A77&lt;=Mesclun_Bed_Cap,D77-E77-F77,"")</f>
        <v>852.423449651063</v>
      </c>
      <c r="H77" s="22" t="n">
        <f aca="false">IF(A77&lt;=Mesclun_Bed_Cap,IF(ISNUMBER(H76),H76,0)+G77,"")</f>
        <v>3547.91902008267</v>
      </c>
      <c r="I77" s="23" t="str">
        <f aca="false">IF(AND(AND(ISNUMBER(G77),G77&lt;0,ISNUMBER(G76),G76&gt;=0),(A77=Mesclun_Beds)),"&lt;- Cross-over &amp; Solver-selected",IF(AND(ISNUMBER(G77),G77&lt;0,ISNUMBER(G76),G76&gt;=0),"&lt;- Cross-over (next bed unprofitable)",IF((A77=Mesclun_Beds),"&lt;- Solver-selected","")))</f>
        <v/>
      </c>
    </row>
    <row r="78" customFormat="false" ht="15" hidden="false" customHeight="false" outlineLevel="0" collapsed="false">
      <c r="A78" s="21" t="n">
        <f aca="false">ROW()-73</f>
        <v>5</v>
      </c>
      <c r="B78" s="17" t="n">
        <f aca="false">IF(A78&lt;=Mesclun_Bed_Cap,A78*Mesclun_Hours*Season*(1+Mesclun_Dim_Return)^A78,"")</f>
        <v>239.418484565735</v>
      </c>
      <c r="C78" s="17" t="n">
        <f aca="false">IF(A78&lt;=Mesclun_Bed_Cap,B78-IF(ISNUMBER(B77),B77,0),"")</f>
        <v>50.2483239212036</v>
      </c>
      <c r="D78" s="22" t="n">
        <f aca="false">IF(A78&lt;=Mesclun_Bed_Cap,Mesclun_Price,"")</f>
        <v>2700</v>
      </c>
      <c r="E78" s="22" t="n">
        <f aca="false">IF(A78&lt;=Mesclun_Bed_Cap,Mesclun_Fertilizer,"")</f>
        <v>880</v>
      </c>
      <c r="F78" s="22" t="n">
        <f aca="false">IF(A78&lt;=Mesclun_Bed_Cap,C78*Blended_Labor_Rate,"")</f>
        <v>991.334010290542</v>
      </c>
      <c r="G78" s="22" t="n">
        <f aca="false">IF(A78&lt;=Mesclun_Bed_Cap,D78-E78-F78,"")</f>
        <v>828.665989709458</v>
      </c>
      <c r="H78" s="22" t="n">
        <f aca="false">IF(A78&lt;=Mesclun_Bed_Cap,IF(ISNUMBER(H77),H77,0)+G78,"")</f>
        <v>4376.58500979213</v>
      </c>
      <c r="I78" s="23" t="str">
        <f aca="false">IF(AND(AND(ISNUMBER(G78),G78&lt;0,ISNUMBER(G77),G77&gt;=0),(A78=Mesclun_Beds)),"&lt;- Cross-over &amp; Solver-selected",IF(AND(ISNUMBER(G78),G78&lt;0,ISNUMBER(G77),G77&gt;=0),"&lt;- Cross-over (next bed unprofitable)",IF((A78=Mesclun_Beds),"&lt;- Solver-selected","")))</f>
        <v/>
      </c>
    </row>
    <row r="79" customFormat="false" ht="15" hidden="false" customHeight="false" outlineLevel="0" collapsed="false">
      <c r="A79" s="21" t="n">
        <f aca="false">ROW()-73</f>
        <v>6</v>
      </c>
      <c r="B79" s="17" t="n">
        <f aca="false">IF(A79&lt;=Mesclun_Bed_Cap,A79*Mesclun_Hours*Season*(1+Mesclun_Dim_Return)^A79,"")</f>
        <v>290.893458747368</v>
      </c>
      <c r="C79" s="17" t="n">
        <f aca="false">IF(A79&lt;=Mesclun_Bed_Cap,B79-IF(ISNUMBER(B78),B78,0),"")</f>
        <v>51.4749741816329</v>
      </c>
      <c r="D79" s="22" t="n">
        <f aca="false">IF(A79&lt;=Mesclun_Bed_Cap,Mesclun_Price,"")</f>
        <v>2700</v>
      </c>
      <c r="E79" s="22" t="n">
        <f aca="false">IF(A79&lt;=Mesclun_Bed_Cap,Mesclun_Fertilizer,"")</f>
        <v>880</v>
      </c>
      <c r="F79" s="22" t="n">
        <f aca="false">IF(A79&lt;=Mesclun_Bed_Cap,C79*Blended_Labor_Rate,"")</f>
        <v>1015.53422289469</v>
      </c>
      <c r="G79" s="22" t="n">
        <f aca="false">IF(A79&lt;=Mesclun_Bed_Cap,D79-E79-F79,"")</f>
        <v>804.465777105309</v>
      </c>
      <c r="H79" s="22" t="n">
        <f aca="false">IF(A79&lt;=Mesclun_Bed_Cap,IF(ISNUMBER(H78),H78,0)+G79,"")</f>
        <v>5181.05078689744</v>
      </c>
      <c r="I79" s="23" t="str">
        <f aca="false">IF(AND(AND(ISNUMBER(G79),G79&lt;0,ISNUMBER(G78),G78&gt;=0),(A79=Mesclun_Beds)),"&lt;- Cross-over &amp; Solver-selected",IF(AND(ISNUMBER(G79),G79&lt;0,ISNUMBER(G78),G78&gt;=0),"&lt;- Cross-over (next bed unprofitable)",IF((A79=Mesclun_Beds),"&lt;- Solver-selected","")))</f>
        <v/>
      </c>
    </row>
    <row r="80" customFormat="false" ht="15" hidden="false" customHeight="false" outlineLevel="0" collapsed="false">
      <c r="A80" s="21" t="n">
        <f aca="false">ROW()-73</f>
        <v>7</v>
      </c>
      <c r="B80" s="17" t="n">
        <f aca="false">IF(A80&lt;=Mesclun_Bed_Cap,A80*Mesclun_Hours*Season*(1+Mesclun_Dim_Return)^A80,"")</f>
        <v>343.617898145328</v>
      </c>
      <c r="C80" s="17" t="n">
        <f aca="false">IF(A80&lt;=Mesclun_Bed_Cap,B80-IF(ISNUMBER(B79),B79,0),"")</f>
        <v>52.7244393979605</v>
      </c>
      <c r="D80" s="22" t="n">
        <f aca="false">IF(A80&lt;=Mesclun_Bed_Cap,Mesclun_Price,"")</f>
        <v>2700</v>
      </c>
      <c r="E80" s="22" t="n">
        <f aca="false">IF(A80&lt;=Mesclun_Bed_Cap,Mesclun_Fertilizer,"")</f>
        <v>880</v>
      </c>
      <c r="F80" s="22" t="n">
        <f aca="false">IF(A80&lt;=Mesclun_Bed_Cap,C80*Blended_Labor_Rate,"")</f>
        <v>1040.18454487484</v>
      </c>
      <c r="G80" s="22" t="n">
        <f aca="false">IF(A80&lt;=Mesclun_Bed_Cap,D80-E80-F80,"")</f>
        <v>779.815455125159</v>
      </c>
      <c r="H80" s="22" t="n">
        <f aca="false">IF(A80&lt;=Mesclun_Bed_Cap,IF(ISNUMBER(H79),H79,0)+G80,"")</f>
        <v>5960.8662420226</v>
      </c>
      <c r="I80" s="23" t="str">
        <f aca="false">IF(AND(AND(ISNUMBER(G80),G80&lt;0,ISNUMBER(G79),G79&gt;=0),(A80=Mesclun_Beds)),"&lt;- Cross-over &amp; Solver-selected",IF(AND(ISNUMBER(G80),G80&lt;0,ISNUMBER(G79),G79&gt;=0),"&lt;- Cross-over (next bed unprofitable)",IF((A80=Mesclun_Beds),"&lt;- Solver-selected","")))</f>
        <v/>
      </c>
    </row>
    <row r="81" customFormat="false" ht="15" hidden="false" customHeight="false" outlineLevel="0" collapsed="false">
      <c r="A81" s="21" t="n">
        <f aca="false">ROW()-73</f>
        <v>8</v>
      </c>
      <c r="B81" s="17" t="n">
        <f aca="false">IF(A81&lt;=Mesclun_Bed_Cap,A81*Mesclun_Hours*Season*(1+Mesclun_Dim_Return)^A81,"")</f>
        <v>397.614996425308</v>
      </c>
      <c r="C81" s="17" t="n">
        <f aca="false">IF(A81&lt;=Mesclun_Bed_Cap,B81-IF(ISNUMBER(B80),B80,0),"")</f>
        <v>53.9970982799802</v>
      </c>
      <c r="D81" s="22" t="n">
        <f aca="false">IF(A81&lt;=Mesclun_Bed_Cap,Mesclun_Price,"")</f>
        <v>2700</v>
      </c>
      <c r="E81" s="22" t="n">
        <f aca="false">IF(A81&lt;=Mesclun_Bed_Cap,Mesclun_Fertilizer,"")</f>
        <v>880</v>
      </c>
      <c r="F81" s="22" t="n">
        <f aca="false">IF(A81&lt;=Mesclun_Bed_Cap,C81*Blended_Labor_Rate,"")</f>
        <v>1065.29244768216</v>
      </c>
      <c r="G81" s="22" t="n">
        <f aca="false">IF(A81&lt;=Mesclun_Bed_Cap,D81-E81-F81,"")</f>
        <v>754.707552317836</v>
      </c>
      <c r="H81" s="22" t="n">
        <f aca="false">IF(A81&lt;=Mesclun_Bed_Cap,IF(ISNUMBER(H80),H80,0)+G81,"")</f>
        <v>6715.57379434043</v>
      </c>
      <c r="I81" s="23" t="str">
        <f aca="false">IF(AND(AND(ISNUMBER(G81),G81&lt;0,ISNUMBER(G80),G80&gt;=0),(A81=Mesclun_Beds)),"&lt;- Cross-over &amp; Solver-selected",IF(AND(ISNUMBER(G81),G81&lt;0,ISNUMBER(G80),G80&gt;=0),"&lt;- Cross-over (next bed unprofitable)",IF((A81=Mesclun_Beds),"&lt;- Solver-selected","")))</f>
        <v/>
      </c>
    </row>
    <row r="82" customFormat="false" ht="15" hidden="false" customHeight="false" outlineLevel="0" collapsed="false">
      <c r="A82" s="21" t="n">
        <f aca="false">ROW()-73</f>
        <v>9</v>
      </c>
      <c r="B82" s="17" t="n">
        <f aca="false">IF(A82&lt;=Mesclun_Bed_Cap,A82*Mesclun_Hours*Season*(1+Mesclun_Dim_Return)^A82,"")</f>
        <v>452.908331865703</v>
      </c>
      <c r="C82" s="17" t="n">
        <f aca="false">IF(A82&lt;=Mesclun_Bed_Cap,B82-IF(ISNUMBER(B81),B81,0),"")</f>
        <v>55.2933354403944</v>
      </c>
      <c r="D82" s="22" t="n">
        <f aca="false">IF(A82&lt;=Mesclun_Bed_Cap,Mesclun_Price,"")</f>
        <v>2700</v>
      </c>
      <c r="E82" s="22" t="n">
        <f aca="false">IF(A82&lt;=Mesclun_Bed_Cap,Mesclun_Fertilizer,"")</f>
        <v>880</v>
      </c>
      <c r="F82" s="22" t="n">
        <f aca="false">IF(A82&lt;=Mesclun_Bed_Cap,C82*Blended_Labor_Rate,"")</f>
        <v>1090.86551922453</v>
      </c>
      <c r="G82" s="22" t="n">
        <f aca="false">IF(A82&lt;=Mesclun_Bed_Cap,D82-E82-F82,"")</f>
        <v>729.134480775467</v>
      </c>
      <c r="H82" s="22" t="n">
        <f aca="false">IF(A82&lt;=Mesclun_Bed_Cap,IF(ISNUMBER(H81),H81,0)+G82,"")</f>
        <v>7444.7082751159</v>
      </c>
      <c r="I82" s="23" t="str">
        <f aca="false">IF(AND(AND(ISNUMBER(G82),G82&lt;0,ISNUMBER(G81),G81&gt;=0),(A82=Mesclun_Beds)),"&lt;- Cross-over &amp; Solver-selected",IF(AND(ISNUMBER(G82),G82&lt;0,ISNUMBER(G81),G81&gt;=0),"&lt;- Cross-over (next bed unprofitable)",IF((A82=Mesclun_Beds),"&lt;- Solver-selected","")))</f>
        <v/>
      </c>
    </row>
    <row r="83" customFormat="false" ht="15" hidden="false" customHeight="false" outlineLevel="0" collapsed="false">
      <c r="A83" s="21" t="n">
        <f aca="false">ROW()-73</f>
        <v>10</v>
      </c>
      <c r="B83" s="17" t="n">
        <f aca="false">IF(A83&lt;=Mesclun_Bed_Cap,A83*Mesclun_Hours*Season*(1+Mesclun_Dim_Return)^A83,"")</f>
        <v>509.521873348916</v>
      </c>
      <c r="C83" s="17" t="n">
        <f aca="false">IF(A83&lt;=Mesclun_Bed_Cap,B83-IF(ISNUMBER(B82),B82,0),"")</f>
        <v>56.6135414832128</v>
      </c>
      <c r="D83" s="22" t="n">
        <f aca="false">IF(A83&lt;=Mesclun_Bed_Cap,Mesclun_Price,"")</f>
        <v>2700</v>
      </c>
      <c r="E83" s="22" t="n">
        <f aca="false">IF(A83&lt;=Mesclun_Bed_Cap,Mesclun_Fertilizer,"")</f>
        <v>880</v>
      </c>
      <c r="F83" s="22" t="n">
        <f aca="false">IF(A83&lt;=Mesclun_Bed_Cap,C83*Blended_Labor_Rate,"")</f>
        <v>1116.91146561051</v>
      </c>
      <c r="G83" s="22" t="n">
        <f aca="false">IF(A83&lt;=Mesclun_Bed_Cap,D83-E83-F83,"")</f>
        <v>703.088534389489</v>
      </c>
      <c r="H83" s="22" t="n">
        <f aca="false">IF(A83&lt;=Mesclun_Bed_Cap,IF(ISNUMBER(H82),H82,0)+G83,"")</f>
        <v>8147.79680950539</v>
      </c>
      <c r="I83" s="23" t="str">
        <f aca="false">IF(AND(AND(ISNUMBER(G83),G83&lt;0,ISNUMBER(G82),G82&gt;=0),(A83=Mesclun_Beds)),"&lt;- Cross-over &amp; Solver-selected",IF(AND(ISNUMBER(G83),G83&lt;0,ISNUMBER(G82),G82&gt;=0),"&lt;- Cross-over (next bed unprofitable)",IF((A83=Mesclun_Beds),"&lt;- Solver-selected","")))</f>
        <v/>
      </c>
    </row>
    <row r="84" customFormat="false" ht="15" hidden="false" customHeight="false" outlineLevel="0" collapsed="false">
      <c r="A84" s="21" t="n">
        <f aca="false">ROW()-73</f>
        <v>11</v>
      </c>
      <c r="B84" s="17" t="n">
        <f aca="false">IF(A84&lt;=Mesclun_Bed_Cap,A84*Mesclun_Hours*Season*(1+Mesclun_Dim_Return)^A84,"")</f>
        <v>567.479986442355</v>
      </c>
      <c r="C84" s="17" t="n">
        <f aca="false">IF(A84&lt;=Mesclun_Bed_Cap,B84-IF(ISNUMBER(B83),B83,0),"")</f>
        <v>57.9581130934391</v>
      </c>
      <c r="D84" s="22" t="n">
        <f aca="false">IF(A84&lt;=Mesclun_Bed_Cap,Mesclun_Price,"")</f>
        <v>2700</v>
      </c>
      <c r="E84" s="22" t="n">
        <f aca="false">IF(A84&lt;=Mesclun_Bed_Cap,Mesclun_Fertilizer,"")</f>
        <v>880</v>
      </c>
      <c r="F84" s="22" t="n">
        <f aca="false">IF(A84&lt;=Mesclun_Bed_Cap,C84*Blended_Labor_Rate,"")</f>
        <v>1143.43811291876</v>
      </c>
      <c r="G84" s="22" t="n">
        <f aca="false">IF(A84&lt;=Mesclun_Bed_Cap,D84-E84-F84,"")</f>
        <v>676.561887081238</v>
      </c>
      <c r="H84" s="22" t="n">
        <f aca="false">IF(A84&lt;=Mesclun_Bed_Cap,IF(ISNUMBER(H83),H83,0)+G84,"")</f>
        <v>8824.35869658663</v>
      </c>
      <c r="I84" s="23" t="str">
        <f aca="false">IF(AND(AND(ISNUMBER(G84),G84&lt;0,ISNUMBER(G83),G83&gt;=0),(A84=Mesclun_Beds)),"&lt;- Cross-over &amp; Solver-selected",IF(AND(ISNUMBER(G84),G84&lt;0,ISNUMBER(G83),G83&gt;=0),"&lt;- Cross-over (next bed unprofitable)",IF((A84=Mesclun_Beds),"&lt;- Solver-selected","")))</f>
        <v/>
      </c>
    </row>
    <row r="85" customFormat="false" ht="15" hidden="false" customHeight="false" outlineLevel="0" collapsed="false">
      <c r="A85" s="21" t="n">
        <f aca="false">ROW()-73</f>
        <v>12</v>
      </c>
      <c r="B85" s="17" t="n">
        <f aca="false">IF(A85&lt;=Mesclun_Bed_Cap,A85*Mesclun_Hours*Season*(1+Mesclun_Dim_Return)^A85,"")</f>
        <v>626.807439570419</v>
      </c>
      <c r="C85" s="17" t="n">
        <f aca="false">IF(A85&lt;=Mesclun_Bed_Cap,B85-IF(ISNUMBER(B84),B84,0),"")</f>
        <v>59.3274531280644</v>
      </c>
      <c r="D85" s="22" t="n">
        <f aca="false">IF(A85&lt;=Mesclun_Bed_Cap,Mesclun_Price,"")</f>
        <v>2700</v>
      </c>
      <c r="E85" s="22" t="n">
        <f aca="false">IF(A85&lt;=Mesclun_Bed_Cap,Mesclun_Fertilizer,"")</f>
        <v>880</v>
      </c>
      <c r="F85" s="22" t="n">
        <f aca="false">IF(A85&lt;=Mesclun_Bed_Cap,C85*Blended_Labor_Rate,"")</f>
        <v>1170.45340899322</v>
      </c>
      <c r="G85" s="22" t="n">
        <f aca="false">IF(A85&lt;=Mesclun_Bed_Cap,D85-E85-F85,"")</f>
        <v>649.546591006783</v>
      </c>
      <c r="H85" s="22" t="n">
        <f aca="false">IF(A85&lt;=Mesclun_Bed_Cap,IF(ISNUMBER(H84),H84,0)+G85,"")</f>
        <v>9473.90528759341</v>
      </c>
      <c r="I85" s="23" t="str">
        <f aca="false">IF(AND(AND(ISNUMBER(G85),G85&lt;0,ISNUMBER(G84),G84&gt;=0),(A85=Mesclun_Beds)),"&lt;- Cross-over &amp; Solver-selected",IF(AND(ISNUMBER(G85),G85&lt;0,ISNUMBER(G84),G84&gt;=0),"&lt;- Cross-over (next bed unprofitable)",IF((A85=Mesclun_Beds),"&lt;- Solver-selected","")))</f>
        <v/>
      </c>
    </row>
    <row r="86" customFormat="false" ht="15" hidden="false" customHeight="false" outlineLevel="0" collapsed="false">
      <c r="A86" s="21" t="n">
        <f aca="false">ROW()-73</f>
        <v>13</v>
      </c>
      <c r="B86" s="17" t="n">
        <f aca="false">IF(A86&lt;=Mesclun_Bed_Cap,A86*Mesclun_Hours*Season*(1+Mesclun_Dim_Return)^A86,"")</f>
        <v>687.529410278803</v>
      </c>
      <c r="C86" s="17" t="n">
        <f aca="false">IF(A86&lt;=Mesclun_Bed_Cap,B86-IF(ISNUMBER(B85),B85,0),"")</f>
        <v>60.7219707083843</v>
      </c>
      <c r="D86" s="22" t="n">
        <f aca="false">IF(A86&lt;=Mesclun_Bed_Cap,Mesclun_Price,"")</f>
        <v>2700</v>
      </c>
      <c r="E86" s="22" t="n">
        <f aca="false">IF(A86&lt;=Mesclun_Bed_Cap,Mesclun_Fertilizer,"")</f>
        <v>880</v>
      </c>
      <c r="F86" s="22" t="n">
        <f aca="false">IF(A86&lt;=Mesclun_Bed_Cap,C86*Blended_Labor_Rate,"")</f>
        <v>1197.96542526439</v>
      </c>
      <c r="G86" s="22" t="n">
        <f aca="false">IF(A86&lt;=Mesclun_Bed_Cap,D86-E86-F86,"")</f>
        <v>622.034574735611</v>
      </c>
      <c r="H86" s="22" t="n">
        <f aca="false">IF(A86&lt;=Mesclun_Bed_Cap,IF(ISNUMBER(H85),H85,0)+G86,"")</f>
        <v>10095.939862329</v>
      </c>
      <c r="I86" s="23" t="str">
        <f aca="false">IF(AND(AND(ISNUMBER(G86),G86&lt;0,ISNUMBER(G85),G85&gt;=0),(A86=Mesclun_Beds)),"&lt;- Cross-over &amp; Solver-selected",IF(AND(ISNUMBER(G86),G86&lt;0,ISNUMBER(G85),G85&gt;=0),"&lt;- Cross-over (next bed unprofitable)",IF((A86=Mesclun_Beds),"&lt;- Solver-selected","")))</f>
        <v/>
      </c>
    </row>
    <row r="87" customFormat="false" ht="15" hidden="false" customHeight="false" outlineLevel="0" collapsed="false">
      <c r="A87" s="21" t="n">
        <f aca="false">ROW()-73</f>
        <v>14</v>
      </c>
      <c r="B87" s="17" t="n">
        <f aca="false">IF(A87&lt;=Mesclun_Bed_Cap,A87*Mesclun_Hours*Season*(1+Mesclun_Dim_Return)^A87,"")</f>
        <v>749.671491592464</v>
      </c>
      <c r="C87" s="17" t="n">
        <f aca="false">IF(A87&lt;=Mesclun_Bed_Cap,B87-IF(ISNUMBER(B86),B86,0),"")</f>
        <v>62.142081313661</v>
      </c>
      <c r="D87" s="22" t="n">
        <f aca="false">IF(A87&lt;=Mesclun_Bed_Cap,Mesclun_Price,"")</f>
        <v>2700</v>
      </c>
      <c r="E87" s="22" t="n">
        <f aca="false">IF(A87&lt;=Mesclun_Bed_Cap,Mesclun_Fertilizer,"")</f>
        <v>880</v>
      </c>
      <c r="F87" s="22" t="n">
        <f aca="false">IF(A87&lt;=Mesclun_Bed_Cap,C87*Blended_Labor_Rate,"")</f>
        <v>1225.98235859718</v>
      </c>
      <c r="G87" s="22" t="n">
        <f aca="false">IF(A87&lt;=Mesclun_Bed_Cap,D87-E87-F87,"")</f>
        <v>594.017641402816</v>
      </c>
      <c r="H87" s="22" t="n">
        <f aca="false">IF(A87&lt;=Mesclun_Bed_Cap,IF(ISNUMBER(H86),H86,0)+G87,"")</f>
        <v>10689.9575037318</v>
      </c>
      <c r="I87" s="23" t="str">
        <f aca="false">IF(AND(AND(ISNUMBER(G87),G87&lt;0,ISNUMBER(G86),G86&gt;=0),(A87=Mesclun_Beds)),"&lt;- Cross-over &amp; Solver-selected",IF(AND(ISNUMBER(G87),G87&lt;0,ISNUMBER(G86),G86&gt;=0),"&lt;- Cross-over (next bed unprofitable)",IF((A87=Mesclun_Beds),"&lt;- Solver-selected","")))</f>
        <v/>
      </c>
    </row>
    <row r="88" customFormat="false" ht="15" hidden="false" customHeight="false" outlineLevel="0" collapsed="false">
      <c r="A88" s="21" t="n">
        <f aca="false">ROW()-73</f>
        <v>15</v>
      </c>
      <c r="B88" s="17" t="n">
        <f aca="false">IF(A88&lt;=Mesclun_Bed_Cap,A88*Mesclun_Hours*Season*(1+Mesclun_Dim_Return)^A88,"")</f>
        <v>813.259698468611</v>
      </c>
      <c r="C88" s="17" t="n">
        <f aca="false">IF(A88&lt;=Mesclun_Bed_Cap,B88-IF(ISNUMBER(B87),B87,0),"")</f>
        <v>63.5882068761464</v>
      </c>
      <c r="D88" s="22" t="n">
        <f aca="false">IF(A88&lt;=Mesclun_Bed_Cap,Mesclun_Price,"")</f>
        <v>2700</v>
      </c>
      <c r="E88" s="22" t="n">
        <f aca="false">IF(A88&lt;=Mesclun_Bed_Cap,Mesclun_Fertilizer,"")</f>
        <v>880</v>
      </c>
      <c r="F88" s="22" t="n">
        <f aca="false">IF(A88&lt;=Mesclun_Bed_Cap,C88*Blended_Labor_Rate,"")</f>
        <v>1254.5125331656</v>
      </c>
      <c r="G88" s="22" t="n">
        <f aca="false">IF(A88&lt;=Mesclun_Bed_Cap,D88-E88-F88,"")</f>
        <v>565.487466834399</v>
      </c>
      <c r="H88" s="22" t="n">
        <f aca="false">IF(A88&lt;=Mesclun_Bed_Cap,IF(ISNUMBER(H87),H87,0)+G88,"")</f>
        <v>11255.4449705662</v>
      </c>
      <c r="I88" s="23" t="str">
        <f aca="false">IF(AND(AND(ISNUMBER(G88),G88&lt;0,ISNUMBER(G87),G87&gt;=0),(A88=Mesclun_Beds)),"&lt;- Cross-over &amp; Solver-selected",IF(AND(ISNUMBER(G88),G88&lt;0,ISNUMBER(G87),G87&gt;=0),"&lt;- Cross-over (next bed unprofitable)",IF((A88=Mesclun_Beds),"&lt;- Solver-selected","")))</f>
        <v/>
      </c>
    </row>
    <row r="89" customFormat="false" ht="15" hidden="false" customHeight="false" outlineLevel="0" collapsed="false">
      <c r="A89" s="21" t="n">
        <f aca="false">ROW()-73</f>
        <v>16</v>
      </c>
      <c r="B89" s="17" t="n">
        <f aca="false">IF(A89&lt;=Mesclun_Bed_Cap,A89*Mesclun_Hours*Season*(1+Mesclun_Dim_Return)^A89,"")</f>
        <v>878.3204743461</v>
      </c>
      <c r="C89" s="17" t="n">
        <f aca="false">IF(A89&lt;=Mesclun_Bed_Cap,B89-IF(ISNUMBER(B88),B88,0),"")</f>
        <v>65.0607758774889</v>
      </c>
      <c r="D89" s="22" t="n">
        <f aca="false">IF(A89&lt;=Mesclun_Bed_Cap,Mesclun_Price,"")</f>
        <v>2700</v>
      </c>
      <c r="E89" s="22" t="n">
        <f aca="false">IF(A89&lt;=Mesclun_Bed_Cap,Mesclun_Fertilizer,"")</f>
        <v>880</v>
      </c>
      <c r="F89" s="22" t="n">
        <f aca="false">IF(A89&lt;=Mesclun_Bed_Cap,C89*Blended_Labor_Rate,"")</f>
        <v>1283.5644023547</v>
      </c>
      <c r="G89" s="22" t="n">
        <f aca="false">IF(A89&lt;=Mesclun_Bed_Cap,D89-E89-F89,"")</f>
        <v>536.435597645297</v>
      </c>
      <c r="H89" s="22" t="n">
        <f aca="false">IF(A89&lt;=Mesclun_Bed_Cap,IF(ISNUMBER(H88),H88,0)+G89,"")</f>
        <v>11791.8805682115</v>
      </c>
      <c r="I89" s="23" t="str">
        <f aca="false">IF(AND(AND(ISNUMBER(G89),G89&lt;0,ISNUMBER(G88),G88&gt;=0),(A89=Mesclun_Beds)),"&lt;- Cross-over &amp; Solver-selected",IF(AND(ISNUMBER(G89),G89&lt;0,ISNUMBER(G88),G88&gt;=0),"&lt;- Cross-over (next bed unprofitable)",IF((A89=Mesclun_Beds),"&lt;- Solver-selected","")))</f>
        <v/>
      </c>
    </row>
    <row r="90" customFormat="false" ht="15" hidden="false" customHeight="false" outlineLevel="0" collapsed="false">
      <c r="A90" s="21" t="n">
        <f aca="false">ROW()-73</f>
        <v>17</v>
      </c>
      <c r="B90" s="17" t="n">
        <f aca="false">IF(A90&lt;=Mesclun_Bed_Cap,A90*Mesclun_Hours*Season*(1+Mesclun_Dim_Return)^A90,"")</f>
        <v>944.88069779264</v>
      </c>
      <c r="C90" s="17" t="n">
        <f aca="false">IF(A90&lt;=Mesclun_Bed_Cap,B90-IF(ISNUMBER(B89),B89,0),"")</f>
        <v>66.5602234465403</v>
      </c>
      <c r="D90" s="22" t="n">
        <f aca="false">IF(A90&lt;=Mesclun_Bed_Cap,Mesclun_Price,"")</f>
        <v>2700</v>
      </c>
      <c r="E90" s="22" t="n">
        <f aca="false">IF(A90&lt;=Mesclun_Bed_Cap,Mesclun_Fertilizer,"")</f>
        <v>880</v>
      </c>
      <c r="F90" s="22" t="n">
        <f aca="false">IF(A90&lt;=Mesclun_Bed_Cap,C90*Blended_Labor_Rate,"")</f>
        <v>1313.14655069022</v>
      </c>
      <c r="G90" s="22" t="n">
        <f aca="false">IF(A90&lt;=Mesclun_Bed_Cap,D90-E90-F90,"")</f>
        <v>506.853449309782</v>
      </c>
      <c r="H90" s="22" t="n">
        <f aca="false">IF(A90&lt;=Mesclun_Bed_Cap,IF(ISNUMBER(H89),H89,0)+G90,"")</f>
        <v>12298.7340175213</v>
      </c>
      <c r="I90" s="23" t="str">
        <f aca="false">IF(AND(AND(ISNUMBER(G90),G90&lt;0,ISNUMBER(G89),G89&gt;=0),(A90=Mesclun_Beds)),"&lt;- Cross-over &amp; Solver-selected",IF(AND(ISNUMBER(G90),G90&lt;0,ISNUMBER(G89),G89&gt;=0),"&lt;- Cross-over (next bed unprofitable)",IF((A90=Mesclun_Beds),"&lt;- Solver-selected","")))</f>
        <v/>
      </c>
    </row>
    <row r="91" customFormat="false" ht="15" hidden="false" customHeight="false" outlineLevel="0" collapsed="false">
      <c r="A91" s="21" t="n">
        <f aca="false">ROW()-73</f>
        <v>18</v>
      </c>
      <c r="B91" s="17" t="n">
        <f aca="false">IF(A91&lt;=Mesclun_Bed_Cap,A91*Mesclun_Hours*Season*(1+Mesclun_Dim_Return)^A91,"")</f>
        <v>1012.96768925123</v>
      </c>
      <c r="C91" s="17" t="n">
        <f aca="false">IF(A91&lt;=Mesclun_Bed_Cap,B91-IF(ISNUMBER(B90),B90,0),"")</f>
        <v>68.0869914585873</v>
      </c>
      <c r="D91" s="22" t="n">
        <f aca="false">IF(A91&lt;=Mesclun_Bed_Cap,Mesclun_Price,"")</f>
        <v>2700</v>
      </c>
      <c r="E91" s="22" t="n">
        <f aca="false">IF(A91&lt;=Mesclun_Bed_Cap,Mesclun_Fertilizer,"")</f>
        <v>880</v>
      </c>
      <c r="F91" s="22" t="n">
        <f aca="false">IF(A91&lt;=Mesclun_Bed_Cap,C91*Blended_Labor_Rate,"")</f>
        <v>1343.26769579626</v>
      </c>
      <c r="G91" s="22" t="n">
        <f aca="false">IF(A91&lt;=Mesclun_Bed_Cap,D91-E91-F91,"")</f>
        <v>476.732304203742</v>
      </c>
      <c r="H91" s="22" t="n">
        <f aca="false">IF(A91&lt;=Mesclun_Bed_Cap,IF(ISNUMBER(H90),H90,0)+G91,"")</f>
        <v>12775.4663217251</v>
      </c>
      <c r="I91" s="23" t="str">
        <f aca="false">IF(AND(AND(ISNUMBER(G91),G91&lt;0,ISNUMBER(G90),G90&gt;=0),(A91=Mesclun_Beds)),"&lt;- Cross-over &amp; Solver-selected",IF(AND(ISNUMBER(G91),G91&lt;0,ISNUMBER(G90),G90&gt;=0),"&lt;- Cross-over (next bed unprofitable)",IF((A91=Mesclun_Beds),"&lt;- Solver-selected","")))</f>
        <v/>
      </c>
    </row>
    <row r="92" customFormat="false" ht="15" hidden="false" customHeight="false" outlineLevel="0" collapsed="false">
      <c r="A92" s="21" t="n">
        <f aca="false">ROW()-73</f>
        <v>19</v>
      </c>
      <c r="B92" s="17" t="n">
        <f aca="false">IF(A92&lt;=Mesclun_Bed_Cap,A92*Mesclun_Hours*Season*(1+Mesclun_Dim_Return)^A92,"")</f>
        <v>1082.60921788725</v>
      </c>
      <c r="C92" s="17" t="n">
        <f aca="false">IF(A92&lt;=Mesclun_Bed_Cap,B92-IF(ISNUMBER(B91),B91,0),"")</f>
        <v>69.6415286360219</v>
      </c>
      <c r="D92" s="22" t="n">
        <f aca="false">IF(A92&lt;=Mesclun_Bed_Cap,Mesclun_Price,"")</f>
        <v>2700</v>
      </c>
      <c r="E92" s="22" t="n">
        <f aca="false">IF(A92&lt;=Mesclun_Bed_Cap,Mesclun_Fertilizer,"")</f>
        <v>880</v>
      </c>
      <c r="F92" s="22" t="n">
        <f aca="false">IF(A92&lt;=Mesclun_Bed_Cap,C92*Blended_Labor_Rate,"")</f>
        <v>1373.9366903814</v>
      </c>
      <c r="G92" s="22" t="n">
        <f aca="false">IF(A92&lt;=Mesclun_Bed_Cap,D92-E92-F92,"")</f>
        <v>446.063309618597</v>
      </c>
      <c r="H92" s="22" t="n">
        <f aca="false">IF(A92&lt;=Mesclun_Bed_Cap,IF(ISNUMBER(H91),H91,0)+G92,"")</f>
        <v>13221.5296313437</v>
      </c>
      <c r="I92" s="23" t="str">
        <f aca="false">IF(AND(AND(ISNUMBER(G92),G92&lt;0,ISNUMBER(G91),G91&gt;=0),(A92=Mesclun_Beds)),"&lt;- Cross-over &amp; Solver-selected",IF(AND(ISNUMBER(G92),G92&lt;0,ISNUMBER(G91),G91&gt;=0),"&lt;- Cross-over (next bed unprofitable)",IF((A92=Mesclun_Beds),"&lt;- Solver-selected","")))</f>
        <v/>
      </c>
    </row>
    <row r="93" customFormat="false" ht="15" hidden="false" customHeight="false" outlineLevel="0" collapsed="false">
      <c r="A93" s="21" t="n">
        <f aca="false">ROW()-73</f>
        <v>20</v>
      </c>
      <c r="B93" s="17" t="n">
        <f aca="false">IF(A93&lt;=Mesclun_Bed_Cap,A93*Mesclun_Hours*Season*(1+Mesclun_Dim_Return)^A93,"")</f>
        <v>1153.83350853773</v>
      </c>
      <c r="C93" s="17" t="n">
        <f aca="false">IF(A93&lt;=Mesclun_Bed_Cap,B93-IF(ISNUMBER(B92),B92,0),"")</f>
        <v>71.2242906504769</v>
      </c>
      <c r="D93" s="22" t="n">
        <f aca="false">IF(A93&lt;=Mesclun_Bed_Cap,Mesclun_Price,"")</f>
        <v>2700</v>
      </c>
      <c r="E93" s="22" t="n">
        <f aca="false">IF(A93&lt;=Mesclun_Bed_Cap,Mesclun_Fertilizer,"")</f>
        <v>880</v>
      </c>
      <c r="F93" s="22" t="n">
        <f aca="false">IF(A93&lt;=Mesclun_Bed_Cap,C93*Blended_Labor_Rate,"")</f>
        <v>1405.16252425371</v>
      </c>
      <c r="G93" s="22" t="n">
        <f aca="false">IF(A93&lt;=Mesclun_Bed_Cap,D93-E93-F93,"")</f>
        <v>414.837475746294</v>
      </c>
      <c r="H93" s="22" t="n">
        <f aca="false">IF(A93&lt;=Mesclun_Bed_Cap,IF(ISNUMBER(H92),H92,0)+G93,"")</f>
        <v>13636.3671070899</v>
      </c>
      <c r="I93" s="23" t="str">
        <f aca="false">IF(AND(AND(ISNUMBER(G93),G93&lt;0,ISNUMBER(G92),G92&gt;=0),(A93=Mesclun_Beds)),"&lt;- Cross-over &amp; Solver-selected",IF(AND(ISNUMBER(G93),G93&lt;0,ISNUMBER(G92),G92&gt;=0),"&lt;- Cross-over (next bed unprofitable)",IF((A93=Mesclun_Beds),"&lt;- Solver-selected","")))</f>
        <v/>
      </c>
    </row>
    <row r="94" customFormat="false" ht="15" hidden="false" customHeight="false" outlineLevel="0" collapsed="false">
      <c r="A94" s="21" t="n">
        <f aca="false">ROW()-73</f>
        <v>21</v>
      </c>
      <c r="B94" s="17" t="n">
        <f aca="false">IF(A94&lt;=Mesclun_Bed_Cap,A94*Mesclun_Hours*Season*(1+Mesclun_Dim_Return)^A94,"")</f>
        <v>1226.66924876417</v>
      </c>
      <c r="C94" s="17" t="n">
        <f aca="false">IF(A94&lt;=Mesclun_Bed_Cap,B94-IF(ISNUMBER(B93),B93,0),"")</f>
        <v>72.8357402264439</v>
      </c>
      <c r="D94" s="22" t="n">
        <f aca="false">IF(A94&lt;=Mesclun_Bed_Cap,Mesclun_Price,"")</f>
        <v>2700</v>
      </c>
      <c r="E94" s="22" t="n">
        <f aca="false">IF(A94&lt;=Mesclun_Bed_Cap,Mesclun_Fertilizer,"")</f>
        <v>880</v>
      </c>
      <c r="F94" s="22" t="n">
        <f aca="false">IF(A94&lt;=Mesclun_Bed_Cap,C94*Blended_Labor_Rate,"")</f>
        <v>1436.95432636495</v>
      </c>
      <c r="G94" s="22" t="n">
        <f aca="false">IF(A94&lt;=Mesclun_Bed_Cap,D94-E94-F94,"")</f>
        <v>383.045673635053</v>
      </c>
      <c r="H94" s="22" t="n">
        <f aca="false">IF(A94&lt;=Mesclun_Bed_Cap,IF(ISNUMBER(H93),H93,0)+G94,"")</f>
        <v>14019.412780725</v>
      </c>
      <c r="I94" s="23" t="str">
        <f aca="false">IF(AND(AND(ISNUMBER(G94),G94&lt;0,ISNUMBER(G93),G93&gt;=0),(A94=Mesclun_Beds)),"&lt;- Cross-over &amp; Solver-selected",IF(AND(ISNUMBER(G94),G94&lt;0,ISNUMBER(G93),G93&gt;=0),"&lt;- Cross-over (next bed unprofitable)",IF((A94=Mesclun_Beds),"&lt;- Solver-selected","")))</f>
        <v/>
      </c>
    </row>
    <row r="95" customFormat="false" ht="15" hidden="false" customHeight="false" outlineLevel="0" collapsed="false">
      <c r="A95" s="21" t="n">
        <f aca="false">ROW()-73</f>
        <v>22</v>
      </c>
      <c r="B95" s="17" t="n">
        <f aca="false">IF(A95&lt;=Mesclun_Bed_Cap,A95*Mesclun_Hours*Season*(1+Mesclun_Dim_Return)^A95,"")</f>
        <v>1301.14559601057</v>
      </c>
      <c r="C95" s="17" t="n">
        <f aca="false">IF(A95&lt;=Mesclun_Bed_Cap,B95-IF(ISNUMBER(B94),B94,0),"")</f>
        <v>74.476347246396</v>
      </c>
      <c r="D95" s="22" t="n">
        <f aca="false">IF(A95&lt;=Mesclun_Bed_Cap,Mesclun_Price,"")</f>
        <v>2700</v>
      </c>
      <c r="E95" s="22" t="n">
        <f aca="false">IF(A95&lt;=Mesclun_Bed_Cap,Mesclun_Fertilizer,"")</f>
        <v>880</v>
      </c>
      <c r="F95" s="22" t="n">
        <f aca="false">IF(A95&lt;=Mesclun_Bed_Cap,C95*Blended_Labor_Rate,"")</f>
        <v>1469.32136688455</v>
      </c>
      <c r="G95" s="22" t="n">
        <f aca="false">IF(A95&lt;=Mesclun_Bed_Cap,D95-E95-F95,"")</f>
        <v>350.678633115447</v>
      </c>
      <c r="H95" s="22" t="n">
        <f aca="false">IF(A95&lt;=Mesclun_Bed_Cap,IF(ISNUMBER(H94),H94,0)+G95,"")</f>
        <v>14370.0914138404</v>
      </c>
      <c r="I95" s="23" t="str">
        <f aca="false">IF(AND(AND(ISNUMBER(G95),G95&lt;0,ISNUMBER(G94),G94&gt;=0),(A95=Mesclun_Beds)),"&lt;- Cross-over &amp; Solver-selected",IF(AND(ISNUMBER(G95),G95&lt;0,ISNUMBER(G94),G94&gt;=0),"&lt;- Cross-over (next bed unprofitable)",IF((A95=Mesclun_Beds),"&lt;- Solver-selected","")))</f>
        <v/>
      </c>
    </row>
    <row r="96" customFormat="false" ht="15" hidden="false" customHeight="false" outlineLevel="0" collapsed="false">
      <c r="A96" s="21" t="n">
        <f aca="false">ROW()-73</f>
        <v>23</v>
      </c>
      <c r="B96" s="17" t="n">
        <f aca="false">IF(A96&lt;=Mesclun_Bed_Cap,A96*Mesclun_Hours*Season*(1+Mesclun_Dim_Return)^A96,"")</f>
        <v>1377.292184868</v>
      </c>
      <c r="C96" s="17" t="n">
        <f aca="false">IF(A96&lt;=Mesclun_Bed_Cap,B96-IF(ISNUMBER(B95),B95,0),"")</f>
        <v>76.1465888574364</v>
      </c>
      <c r="D96" s="22" t="n">
        <f aca="false">IF(A96&lt;=Mesclun_Bed_Cap,Mesclun_Price,"")</f>
        <v>2700</v>
      </c>
      <c r="E96" s="22" t="n">
        <f aca="false">IF(A96&lt;=Mesclun_Bed_Cap,Mesclun_Fertilizer,"")</f>
        <v>880</v>
      </c>
      <c r="F96" s="22" t="n">
        <f aca="false">IF(A96&lt;=Mesclun_Bed_Cap,C96*Blended_Labor_Rate,"")</f>
        <v>1502.27305930365</v>
      </c>
      <c r="G96" s="22" t="n">
        <f aca="false">IF(A96&lt;=Mesclun_Bed_Cap,D96-E96-F96,"")</f>
        <v>317.726940696346</v>
      </c>
      <c r="H96" s="22" t="n">
        <f aca="false">IF(A96&lt;=Mesclun_Bed_Cap,IF(ISNUMBER(H95),H95,0)+G96,"")</f>
        <v>14687.8183545368</v>
      </c>
      <c r="I96" s="23" t="str">
        <f aca="false">IF(AND(AND(ISNUMBER(G96),G96&lt;0,ISNUMBER(G95),G95&gt;=0),(A96=Mesclun_Beds)),"&lt;- Cross-over &amp; Solver-selected",IF(AND(ISNUMBER(G96),G96&lt;0,ISNUMBER(G95),G95&gt;=0),"&lt;- Cross-over (next bed unprofitable)",IF((A96=Mesclun_Beds),"&lt;- Solver-selected","")))</f>
        <v/>
      </c>
    </row>
    <row r="97" customFormat="false" ht="15" hidden="false" customHeight="false" outlineLevel="0" collapsed="false">
      <c r="A97" s="21" t="n">
        <f aca="false">ROW()-73</f>
        <v>24</v>
      </c>
      <c r="B97" s="17" t="n">
        <f aca="false">IF(A97&lt;=Mesclun_Bed_Cap,A97*Mesclun_Hours*Season*(1+Mesclun_Dim_Return)^A97,"")</f>
        <v>1455.1391344475</v>
      </c>
      <c r="C97" s="17" t="n">
        <f aca="false">IF(A97&lt;=Mesclun_Bed_Cap,B97-IF(ISNUMBER(B96),B96,0),"")</f>
        <v>77.8469495794957</v>
      </c>
      <c r="D97" s="22" t="n">
        <f aca="false">IF(A97&lt;=Mesclun_Bed_Cap,Mesclun_Price,"")</f>
        <v>2700</v>
      </c>
      <c r="E97" s="22" t="n">
        <f aca="false">IF(A97&lt;=Mesclun_Bed_Cap,Mesclun_Fertilizer,"")</f>
        <v>880</v>
      </c>
      <c r="F97" s="22" t="n">
        <f aca="false">IF(A97&lt;=Mesclun_Bed_Cap,C97*Blended_Labor_Rate,"")</f>
        <v>1535.81896256966</v>
      </c>
      <c r="G97" s="22" t="n">
        <f aca="false">IF(A97&lt;=Mesclun_Bed_Cap,D97-E97-F97,"")</f>
        <v>284.181037430342</v>
      </c>
      <c r="H97" s="22" t="n">
        <f aca="false">IF(A97&lt;=Mesclun_Bed_Cap,IF(ISNUMBER(H96),H96,0)+G97,"")</f>
        <v>14971.9993919671</v>
      </c>
      <c r="I97" s="23" t="str">
        <f aca="false">IF(AND(AND(ISNUMBER(G97),G97&lt;0,ISNUMBER(G96),G96&gt;=0),(A97=Mesclun_Beds)),"&lt;- Cross-over &amp; Solver-selected",IF(AND(ISNUMBER(G97),G97&lt;0,ISNUMBER(G96),G96&gt;=0),"&lt;- Cross-over (next bed unprofitable)",IF((A97=Mesclun_Beds),"&lt;- Solver-selected","")))</f>
        <v/>
      </c>
    </row>
    <row r="98" customFormat="false" ht="15" hidden="false" customHeight="false" outlineLevel="0" collapsed="false">
      <c r="A98" s="21" t="n">
        <f aca="false">ROW()-73</f>
        <v>25</v>
      </c>
      <c r="B98" s="17" t="n">
        <f aca="false">IF(A98&lt;=Mesclun_Bed_Cap,A98*Mesclun_Hours*Season*(1+Mesclun_Dim_Return)^A98,"")</f>
        <v>1534.7170558626</v>
      </c>
      <c r="C98" s="17" t="n">
        <f aca="false">IF(A98&lt;=Mesclun_Bed_Cap,B98-IF(ISNUMBER(B97),B97,0),"")</f>
        <v>79.5779214150975</v>
      </c>
      <c r="D98" s="22" t="n">
        <f aca="false">IF(A98&lt;=Mesclun_Bed_Cap,Mesclun_Price,"")</f>
        <v>2700</v>
      </c>
      <c r="E98" s="22" t="n">
        <f aca="false">IF(A98&lt;=Mesclun_Bed_Cap,Mesclun_Fertilizer,"")</f>
        <v>880</v>
      </c>
      <c r="F98" s="22" t="n">
        <f aca="false">IF(A98&lt;=Mesclun_Bed_Cap,C98*Blended_Labor_Rate,"")</f>
        <v>1569.9687832518</v>
      </c>
      <c r="G98" s="22" t="n">
        <f aca="false">IF(A98&lt;=Mesclun_Bed_Cap,D98-E98-F98,"")</f>
        <v>250.031216748203</v>
      </c>
      <c r="H98" s="22" t="n">
        <f aca="false">IF(A98&lt;=Mesclun_Bed_Cap,IF(ISNUMBER(H97),H97,0)+G98,"")</f>
        <v>15222.0306087153</v>
      </c>
      <c r="I98" s="23" t="str">
        <f aca="false">IF(AND(AND(ISNUMBER(G98),G98&lt;0,ISNUMBER(G97),G97&gt;=0),(A98=Mesclun_Beds)),"&lt;- Cross-over &amp; Solver-selected",IF(AND(ISNUMBER(G98),G98&lt;0,ISNUMBER(G97),G97&gt;=0),"&lt;- Cross-over (next bed unprofitable)",IF((A98=Mesclun_Beds),"&lt;- Solver-selected","")))</f>
        <v/>
      </c>
    </row>
    <row r="99" customFormat="false" ht="15" hidden="false" customHeight="false" outlineLevel="0" collapsed="false">
      <c r="A99" s="21" t="n">
        <f aca="false">ROW()-73</f>
        <v>26</v>
      </c>
      <c r="B99" s="17" t="n">
        <f aca="false">IF(A99&lt;=Mesclun_Bed_Cap,A99*Mesclun_Hours*Season*(1+Mesclun_Dim_Return)^A99,"")</f>
        <v>1616.05705982331</v>
      </c>
      <c r="C99" s="17" t="n">
        <f aca="false">IF(A99&lt;=Mesclun_Bed_Cap,B99-IF(ISNUMBER(B98),B98,0),"")</f>
        <v>81.3400039607172</v>
      </c>
      <c r="D99" s="22" t="n">
        <f aca="false">IF(A99&lt;=Mesclun_Bed_Cap,Mesclun_Price,"")</f>
        <v>2700</v>
      </c>
      <c r="E99" s="22" t="n">
        <f aca="false">IF(A99&lt;=Mesclun_Bed_Cap,Mesclun_Fertilizer,"")</f>
        <v>880</v>
      </c>
      <c r="F99" s="22" t="n">
        <f aca="false">IF(A99&lt;=Mesclun_Bed_Cap,C99*Blended_Labor_Rate,"")</f>
        <v>1604.73237773808</v>
      </c>
      <c r="G99" s="22" t="n">
        <f aca="false">IF(A99&lt;=Mesclun_Bed_Cap,D99-E99-F99,"")</f>
        <v>215.267622261919</v>
      </c>
      <c r="H99" s="22" t="n">
        <f aca="false">IF(A99&lt;=Mesclun_Bed_Cap,IF(ISNUMBER(H98),H98,0)+G99,"")</f>
        <v>15437.2982309773</v>
      </c>
      <c r="I99" s="23" t="str">
        <f aca="false">IF(AND(AND(ISNUMBER(G99),G99&lt;0,ISNUMBER(G98),G98&gt;=0),(A99=Mesclun_Beds)),"&lt;- Cross-over &amp; Solver-selected",IF(AND(ISNUMBER(G99),G99&lt;0,ISNUMBER(G98),G98&gt;=0),"&lt;- Cross-over (next bed unprofitable)",IF((A99=Mesclun_Beds),"&lt;- Solver-selected","")))</f>
        <v/>
      </c>
    </row>
    <row r="100" customFormat="false" ht="15" hidden="false" customHeight="false" outlineLevel="0" collapsed="false">
      <c r="A100" s="21" t="n">
        <f aca="false">ROW()-73</f>
        <v>27</v>
      </c>
      <c r="B100" s="17" t="n">
        <f aca="false">IF(A100&lt;=Mesclun_Bed_Cap,A100*Mesclun_Hours*Season*(1+Mesclun_Dim_Return)^A100,"")</f>
        <v>1699.19076434307</v>
      </c>
      <c r="C100" s="17" t="n">
        <f aca="false">IF(A100&lt;=Mesclun_Bed_Cap,B100-IF(ISNUMBER(B99),B99,0),"")</f>
        <v>83.1337045197572</v>
      </c>
      <c r="D100" s="22" t="n">
        <f aca="false">IF(A100&lt;=Mesclun_Bed_Cap,Mesclun_Price,"")</f>
        <v>2700</v>
      </c>
      <c r="E100" s="22" t="n">
        <f aca="false">IF(A100&lt;=Mesclun_Bed_Cap,Mesclun_Fertilizer,"")</f>
        <v>880</v>
      </c>
      <c r="F100" s="22" t="n">
        <f aca="false">IF(A100&lt;=Mesclun_Bed_Cap,C100*Blended_Labor_Rate,"")</f>
        <v>1640.11975446416</v>
      </c>
      <c r="G100" s="22" t="n">
        <f aca="false">IF(A100&lt;=Mesclun_Bed_Cap,D100-E100-F100,"")</f>
        <v>179.880245535844</v>
      </c>
      <c r="H100" s="22" t="n">
        <f aca="false">IF(A100&lt;=Mesclun_Bed_Cap,IF(ISNUMBER(H99),H99,0)+G100,"")</f>
        <v>15617.1784765131</v>
      </c>
      <c r="I100" s="23" t="str">
        <f aca="false">IF(AND(AND(ISNUMBER(G100),G100&lt;0,ISNUMBER(G99),G99&gt;=0),(A100=Mesclun_Beds)),"&lt;- Cross-over &amp; Solver-selected",IF(AND(ISNUMBER(G100),G100&lt;0,ISNUMBER(G99),G99&gt;=0),"&lt;- Cross-over (next bed unprofitable)",IF((A100=Mesclun_Beds),"&lt;- Solver-selected","")))</f>
        <v/>
      </c>
    </row>
    <row r="101" customFormat="false" ht="15" hidden="false" customHeight="false" outlineLevel="0" collapsed="false">
      <c r="A101" s="21" t="n">
        <f aca="false">ROW()-73</f>
        <v>28</v>
      </c>
      <c r="B101" s="17" t="n">
        <f aca="false">IF(A101&lt;=Mesclun_Bed_Cap,A101*Mesclun_Hours*Season*(1+Mesclun_Dim_Return)^A101,"")</f>
        <v>1784.15030256022</v>
      </c>
      <c r="C101" s="17" t="n">
        <f aca="false">IF(A101&lt;=Mesclun_Bed_Cap,B101-IF(ISNUMBER(B100),B100,0),"")</f>
        <v>84.9595382171533</v>
      </c>
      <c r="D101" s="22" t="n">
        <f aca="false">IF(A101&lt;=Mesclun_Bed_Cap,Mesclun_Price,"")</f>
        <v>2700</v>
      </c>
      <c r="E101" s="22" t="n">
        <f aca="false">IF(A101&lt;=Mesclun_Bed_Cap,Mesclun_Fertilizer,"")</f>
        <v>880</v>
      </c>
      <c r="F101" s="22" t="n">
        <f aca="false">IF(A101&lt;=Mesclun_Bed_Cap,C101*Blended_Labor_Rate,"")</f>
        <v>1676.14107617434</v>
      </c>
      <c r="G101" s="22" t="n">
        <f aca="false">IF(A101&lt;=Mesclun_Bed_Cap,D101-E101-F101,"")</f>
        <v>143.858923825659</v>
      </c>
      <c r="H101" s="22" t="n">
        <f aca="false">IF(A101&lt;=Mesclun_Bed_Cap,IF(ISNUMBER(H100),H100,0)+G101,"")</f>
        <v>15761.0374003388</v>
      </c>
      <c r="I101" s="23" t="str">
        <f aca="false">IF(AND(AND(ISNUMBER(G101),G101&lt;0,ISNUMBER(G100),G100&gt;=0),(A101=Mesclun_Beds)),"&lt;- Cross-over &amp; Solver-selected",IF(AND(ISNUMBER(G101),G101&lt;0,ISNUMBER(G100),G100&gt;=0),"&lt;- Cross-over (next bed unprofitable)",IF((A101=Mesclun_Beds),"&lt;- Solver-selected","")))</f>
        <v/>
      </c>
    </row>
    <row r="102" customFormat="false" ht="15" hidden="false" customHeight="false" outlineLevel="0" collapsed="false">
      <c r="A102" s="21" t="n">
        <f aca="false">ROW()-73</f>
        <v>29</v>
      </c>
      <c r="B102" s="17" t="n">
        <f aca="false">IF(A102&lt;=Mesclun_Bed_Cap,A102*Mesclun_Hours*Season*(1+Mesclun_Dim_Return)^A102,"")</f>
        <v>1870.96833067588</v>
      </c>
      <c r="C102" s="17" t="n">
        <f aca="false">IF(A102&lt;=Mesclun_Bed_Cap,B102-IF(ISNUMBER(B101),B101,0),"")</f>
        <v>86.8180281156533</v>
      </c>
      <c r="D102" s="22" t="n">
        <f aca="false">IF(A102&lt;=Mesclun_Bed_Cap,Mesclun_Price,"")</f>
        <v>2700</v>
      </c>
      <c r="E102" s="22" t="n">
        <f aca="false">IF(A102&lt;=Mesclun_Bed_Cap,Mesclun_Fertilizer,"")</f>
        <v>880</v>
      </c>
      <c r="F102" s="22" t="n">
        <f aca="false">IF(A102&lt;=Mesclun_Bed_Cap,C102*Blended_Labor_Rate,"")</f>
        <v>1712.80666221565</v>
      </c>
      <c r="G102" s="22" t="n">
        <f aca="false">IF(A102&lt;=Mesclun_Bed_Cap,D102-E102-F102,"")</f>
        <v>107.19333778435</v>
      </c>
      <c r="H102" s="22" t="n">
        <f aca="false">IF(A102&lt;=Mesclun_Bed_Cap,IF(ISNUMBER(H101),H101,0)+G102,"")</f>
        <v>15868.2307381231</v>
      </c>
      <c r="I102" s="23" t="str">
        <f aca="false">IF(AND(AND(ISNUMBER(G102),G102&lt;0,ISNUMBER(G101),G101&gt;=0),(A102=Mesclun_Beds)),"&lt;- Cross-over &amp; Solver-selected",IF(AND(ISNUMBER(G102),G102&lt;0,ISNUMBER(G101),G101&gt;=0),"&lt;- Cross-over (next bed unprofitable)",IF((A102=Mesclun_Beds),"&lt;- Solver-selected","")))</f>
        <v/>
      </c>
    </row>
    <row r="103" customFormat="false" ht="15" hidden="false" customHeight="false" outlineLevel="0" collapsed="false">
      <c r="A103" s="21" t="n">
        <f aca="false">ROW()-73</f>
        <v>30</v>
      </c>
      <c r="B103" s="17" t="n">
        <f aca="false">IF(A103&lt;=Mesclun_Bed_Cap,A103*Mesclun_Hours*Season*(1+Mesclun_Dim_Return)^A103,"")</f>
        <v>1959.67803600965</v>
      </c>
      <c r="C103" s="17" t="n">
        <f aca="false">IF(A103&lt;=Mesclun_Bed_Cap,B103-IF(ISNUMBER(B102),B102,0),"")</f>
        <v>88.70970533377</v>
      </c>
      <c r="D103" s="22" t="n">
        <f aca="false">IF(A103&lt;=Mesclun_Bed_Cap,Mesclun_Price,"")</f>
        <v>2700</v>
      </c>
      <c r="E103" s="22" t="n">
        <f aca="false">IF(A103&lt;=Mesclun_Bed_Cap,Mesclun_Fertilizer,"")</f>
        <v>880</v>
      </c>
      <c r="F103" s="22" t="n">
        <f aca="false">IF(A103&lt;=Mesclun_Bed_Cap,C103*Blended_Labor_Rate,"")</f>
        <v>1750.12699086485</v>
      </c>
      <c r="G103" s="22" t="n">
        <f aca="false">IF(A103&lt;=Mesclun_Bed_Cap,D103-E103-F103,"")</f>
        <v>69.8730091351479</v>
      </c>
      <c r="H103" s="22" t="n">
        <f aca="false">IF(A103&lt;=Mesclun_Bed_Cap,IF(ISNUMBER(H102),H102,0)+G103,"")</f>
        <v>15938.1037472583</v>
      </c>
      <c r="I103" s="23" t="str">
        <f aca="false">IF(AND(AND(ISNUMBER(G103),G103&lt;0,ISNUMBER(G102),G102&gt;=0),(A103=Mesclun_Beds)),"&lt;- Cross-over &amp; Solver-selected",IF(AND(ISNUMBER(G103),G103&lt;0,ISNUMBER(G102),G102&gt;=0),"&lt;- Cross-over (next bed unprofitable)",IF((A103=Mesclun_Beds),"&lt;- Solver-selected","")))</f>
        <v>&lt;- Solver-selected</v>
      </c>
    </row>
  </sheetData>
  <mergeCells count="5">
    <mergeCell ref="A1:I1"/>
    <mergeCell ref="A2:I2"/>
    <mergeCell ref="A4:I4"/>
    <mergeCell ref="A38:I38"/>
    <mergeCell ref="A72:I72"/>
  </mergeCells>
  <conditionalFormatting sqref="I6:I35">
    <cfRule type="expression" priority="2" aboveAverage="0" equalAverage="0" bottom="0" percent="0" rank="0" text="" dxfId="2">
      <formula>ISNUMBER(SEARCH("Cross-over",I6))</formula>
    </cfRule>
    <cfRule type="expression" priority="3" aboveAverage="0" equalAverage="0" bottom="0" percent="0" rank="0" text="" dxfId="3">
      <formula>ISNUMBER(SEARCH("Solver-selected",I6))</formula>
    </cfRule>
  </conditionalFormatting>
  <conditionalFormatting sqref="I40:I69">
    <cfRule type="expression" priority="4" aboveAverage="0" equalAverage="0" bottom="0" percent="0" rank="0" text="" dxfId="2">
      <formula>ISNUMBER(SEARCH("Cross-over",I40))</formula>
    </cfRule>
    <cfRule type="expression" priority="5" aboveAverage="0" equalAverage="0" bottom="0" percent="0" rank="0" text="" dxfId="3">
      <formula>ISNUMBER(SEARCH("Solver-selected",I40))</formula>
    </cfRule>
  </conditionalFormatting>
  <conditionalFormatting sqref="I74:I103">
    <cfRule type="expression" priority="6" aboveAverage="0" equalAverage="0" bottom="0" percent="0" rank="0" text="" dxfId="2">
      <formula>ISNUMBER(SEARCH("Cross-over",I74))</formula>
    </cfRule>
    <cfRule type="expression" priority="7" aboveAverage="0" equalAverage="0" bottom="0" percent="0" rank="0" text="" dxfId="3">
      <formula>ISNUMBER(SEARCH("Solver-selected",I74))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6"/>
    <col collapsed="false" customWidth="true" hidden="false" outlineLevel="0" max="6" min="6" style="0" width="1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63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3" t="s">
        <v>64</v>
      </c>
      <c r="B3" s="3"/>
      <c r="C3" s="3"/>
    </row>
    <row r="4" customFormat="false" ht="15" hidden="false" customHeight="false" outlineLevel="0" collapsed="false">
      <c r="A4" s="4" t="s">
        <v>3</v>
      </c>
      <c r="B4" s="4" t="s">
        <v>65</v>
      </c>
      <c r="C4" s="4" t="s">
        <v>66</v>
      </c>
    </row>
    <row r="5" customFormat="false" ht="15" hidden="false" customHeight="false" outlineLevel="0" collapsed="false">
      <c r="A5" s="5" t="s">
        <v>10</v>
      </c>
      <c r="B5" s="24" t="n">
        <v>10</v>
      </c>
      <c r="C5" s="25" t="n">
        <f aca="false">Tomato_Bed_Cap</f>
        <v>20</v>
      </c>
    </row>
    <row r="6" customFormat="false" ht="15" hidden="false" customHeight="false" outlineLevel="0" collapsed="false">
      <c r="A6" s="5" t="s">
        <v>12</v>
      </c>
      <c r="B6" s="24" t="n">
        <v>20</v>
      </c>
      <c r="C6" s="25" t="n">
        <f aca="false">Carrot_Bed_Cap</f>
        <v>20</v>
      </c>
    </row>
    <row r="7" customFormat="false" ht="15" hidden="false" customHeight="false" outlineLevel="0" collapsed="false">
      <c r="A7" s="5" t="s">
        <v>13</v>
      </c>
      <c r="B7" s="24" t="n">
        <v>30</v>
      </c>
      <c r="C7" s="25" t="n">
        <f aca="false">Mesclun_Bed_Cap</f>
        <v>30</v>
      </c>
    </row>
    <row r="8" customFormat="false" ht="15" hidden="false" customHeight="false" outlineLevel="0" collapsed="false">
      <c r="A8" s="5" t="s">
        <v>67</v>
      </c>
      <c r="B8" s="26" t="n">
        <f aca="false">SUM(B5:B7)</f>
        <v>60</v>
      </c>
      <c r="C8" s="25" t="n">
        <f aca="false">Beds_Available</f>
        <v>64</v>
      </c>
    </row>
    <row r="9" customFormat="false" ht="15" hidden="false" customHeight="false" outlineLevel="0" collapsed="false">
      <c r="A9" s="3" t="s">
        <v>68</v>
      </c>
      <c r="B9" s="3"/>
      <c r="C9" s="3"/>
      <c r="D9" s="3"/>
      <c r="E9" s="3"/>
      <c r="F9" s="3"/>
      <c r="G9" s="3"/>
    </row>
    <row r="10" customFormat="false" ht="39.55" hidden="false" customHeight="false" outlineLevel="0" collapsed="false">
      <c r="A10" s="4" t="s">
        <v>3</v>
      </c>
      <c r="B10" s="4" t="s">
        <v>69</v>
      </c>
      <c r="C10" s="4" t="s">
        <v>70</v>
      </c>
      <c r="D10" s="4" t="s">
        <v>71</v>
      </c>
      <c r="E10" s="4" t="s">
        <v>72</v>
      </c>
      <c r="F10" s="4" t="s">
        <v>73</v>
      </c>
      <c r="G10" s="4" t="s">
        <v>74</v>
      </c>
    </row>
    <row r="11" customFormat="false" ht="15" hidden="false" customHeight="false" outlineLevel="0" collapsed="false">
      <c r="A11" s="5" t="s">
        <v>10</v>
      </c>
      <c r="B11" s="25" t="n">
        <f aca="false">Tomato_Beds</f>
        <v>10</v>
      </c>
      <c r="C11" s="22" t="n">
        <f aca="false">Tomato_Beds*Tomato_Price</f>
        <v>88000</v>
      </c>
      <c r="D11" s="22" t="n">
        <f aca="false">Tomato_Beds*Tomato_Fertizer</f>
        <v>8800</v>
      </c>
      <c r="E11" s="17" t="n">
        <f aca="false">Tomato_Beds*Tomato_Hours*Season*(1+Tomato_Dim_Return)^Tomato_Beds</f>
        <v>2334.36821409</v>
      </c>
      <c r="F11" s="22" t="n">
        <f aca="false">E11*Blended_Labor_Rate</f>
        <v>46054.0456393631</v>
      </c>
      <c r="G11" s="22" t="n">
        <f aca="false">C11-D11-F11</f>
        <v>33145.9543606369</v>
      </c>
    </row>
    <row r="12" customFormat="false" ht="15" hidden="false" customHeight="false" outlineLevel="0" collapsed="false">
      <c r="A12" s="5" t="s">
        <v>12</v>
      </c>
      <c r="B12" s="25" t="n">
        <f aca="false">Carrot_Beds</f>
        <v>20</v>
      </c>
      <c r="C12" s="22" t="n">
        <f aca="false">Carrot_Beds*Carrot_Price</f>
        <v>41880</v>
      </c>
      <c r="D12" s="22" t="n">
        <f aca="false">Carrot_Beds*Carrot_Fertilizer</f>
        <v>8800</v>
      </c>
      <c r="E12" s="17" t="n">
        <f aca="false">Carrot_Beds*Carrrot_Hours*Season*(1+Carrot_Dim_Return)^Carrot_Beds</f>
        <v>982.776596228567</v>
      </c>
      <c r="F12" s="22" t="n">
        <f aca="false">E12*Blended_Labor_Rate</f>
        <v>19388.902720153</v>
      </c>
      <c r="G12" s="22" t="n">
        <f aca="false">C12-D12-F12</f>
        <v>13691.097279847</v>
      </c>
    </row>
    <row r="13" customFormat="false" ht="15" hidden="false" customHeight="false" outlineLevel="0" collapsed="false">
      <c r="A13" s="5" t="s">
        <v>13</v>
      </c>
      <c r="B13" s="25" t="n">
        <f aca="false">Mesclun_Beds</f>
        <v>30</v>
      </c>
      <c r="C13" s="22" t="n">
        <f aca="false">Mesclun_Beds*Mesclun_Price</f>
        <v>81000</v>
      </c>
      <c r="D13" s="22" t="n">
        <f aca="false">Mesclun_Beds*Mesclun_Fertilizer</f>
        <v>26400</v>
      </c>
      <c r="E13" s="17" t="n">
        <f aca="false">Mesclun_Beds*Mesclun_Hours*Season*(1+Mesclun_Dim_Return)^Mesclun_Beds</f>
        <v>1959.67803600965</v>
      </c>
      <c r="F13" s="22" t="n">
        <f aca="false">E13*Blended_Labor_Rate</f>
        <v>38661.8962527417</v>
      </c>
      <c r="G13" s="22" t="n">
        <f aca="false">C13-D13-F13</f>
        <v>15938.1037472583</v>
      </c>
    </row>
    <row r="14" customFormat="false" ht="15" hidden="false" customHeight="false" outlineLevel="0" collapsed="false">
      <c r="A14" s="5" t="s">
        <v>75</v>
      </c>
      <c r="B14" s="26" t="n">
        <f aca="false">SUM(B11:B13)</f>
        <v>60</v>
      </c>
      <c r="C14" s="27" t="n">
        <f aca="false">SUM(C11:C13)</f>
        <v>210880</v>
      </c>
      <c r="D14" s="27" t="n">
        <f aca="false">SUM(D11:D13)</f>
        <v>44000</v>
      </c>
      <c r="E14" s="28" t="n">
        <f aca="false">SUM(E11:E13)</f>
        <v>5276.82284632822</v>
      </c>
      <c r="F14" s="27" t="n">
        <f aca="false">SUM(F11:F13)</f>
        <v>104104.844612258</v>
      </c>
      <c r="G14" s="27" t="n">
        <f aca="false">SUM(G11:G13)</f>
        <v>62775.1553877422</v>
      </c>
    </row>
    <row r="16" customFormat="false" ht="15" hidden="false" customHeight="false" outlineLevel="0" collapsed="false">
      <c r="A16" s="29" t="s">
        <v>76</v>
      </c>
      <c r="B16" s="29"/>
      <c r="C16" s="29"/>
    </row>
    <row r="17" customFormat="false" ht="15" hidden="false" customHeight="false" outlineLevel="0" collapsed="false">
      <c r="A17" s="5" t="s">
        <v>77</v>
      </c>
      <c r="B17" s="17" t="n">
        <f aca="false">E14</f>
        <v>5276.82284632822</v>
      </c>
      <c r="C17" s="16"/>
    </row>
    <row r="18" customFormat="false" ht="15" hidden="false" customHeight="false" outlineLevel="0" collapsed="false">
      <c r="A18" s="5" t="s">
        <v>78</v>
      </c>
      <c r="B18" s="17" t="n">
        <f aca="false">MIN(B17,Farmer_Hours)</f>
        <v>720</v>
      </c>
      <c r="C18" s="16"/>
    </row>
    <row r="19" customFormat="false" ht="15" hidden="false" customHeight="false" outlineLevel="0" collapsed="false">
      <c r="A19" s="5" t="s">
        <v>79</v>
      </c>
      <c r="B19" s="17" t="n">
        <f aca="false">MIN(MAX(B17-Farmer_Hours,0),Temp_Worker_Count*Temp_Worker_Hours_Each)</f>
        <v>4556.82284632822</v>
      </c>
      <c r="C19" s="16"/>
    </row>
    <row r="20" customFormat="false" ht="15" hidden="false" customHeight="false" outlineLevel="0" collapsed="false">
      <c r="A20" s="5" t="s">
        <v>80</v>
      </c>
      <c r="B20" s="22" t="n">
        <f aca="false">B18*Farmer_Cost+B19*Temp_Worker_Cost</f>
        <v>104104.844612258</v>
      </c>
      <c r="C20" s="16"/>
    </row>
    <row r="21" customFormat="false" ht="15" hidden="false" customHeight="false" outlineLevel="0" collapsed="false">
      <c r="A21" s="5" t="s">
        <v>81</v>
      </c>
      <c r="B21" s="30" t="n">
        <f aca="false">IFERROR(B20/B17,0)</f>
        <v>19.7286980525976</v>
      </c>
      <c r="C21" s="16"/>
    </row>
    <row r="22" customFormat="false" ht="15" hidden="false" customHeight="false" outlineLevel="0" collapsed="false">
      <c r="A22" s="5" t="s">
        <v>82</v>
      </c>
      <c r="B22" s="22" t="n">
        <f aca="false">Fixed_Costs</f>
        <v>20000</v>
      </c>
      <c r="C22" s="16"/>
    </row>
    <row r="23" customFormat="false" ht="15" hidden="false" customHeight="false" outlineLevel="0" collapsed="false">
      <c r="A23" s="5" t="s">
        <v>83</v>
      </c>
      <c r="B23" s="27" t="n">
        <f aca="false">G14-Fixed_Costs</f>
        <v>42775.1553877422</v>
      </c>
      <c r="C23" s="16"/>
    </row>
    <row r="25" customFormat="false" ht="15" hidden="false" customHeight="false" outlineLevel="0" collapsed="false">
      <c r="A25" s="3" t="s">
        <v>84</v>
      </c>
      <c r="B25" s="3"/>
      <c r="C25" s="3"/>
      <c r="D25" s="3"/>
      <c r="E25" s="3"/>
      <c r="F25" s="3"/>
      <c r="G25" s="3"/>
    </row>
    <row r="26" customFormat="false" ht="15" hidden="false" customHeight="false" outlineLevel="0" collapsed="false">
      <c r="A26" s="31" t="s">
        <v>85</v>
      </c>
      <c r="B26" s="32" t="s">
        <v>86</v>
      </c>
      <c r="C26" s="32"/>
      <c r="D26" s="32"/>
      <c r="E26" s="32"/>
      <c r="F26" s="32"/>
      <c r="G26" s="32"/>
    </row>
    <row r="27" customFormat="false" ht="15" hidden="false" customHeight="false" outlineLevel="0" collapsed="false">
      <c r="A27" s="31" t="s">
        <v>87</v>
      </c>
      <c r="B27" s="32" t="s">
        <v>88</v>
      </c>
      <c r="C27" s="32"/>
      <c r="D27" s="32"/>
      <c r="E27" s="32"/>
      <c r="F27" s="32"/>
      <c r="G27" s="32"/>
    </row>
    <row r="28" customFormat="false" ht="15" hidden="false" customHeight="false" outlineLevel="0" collapsed="false">
      <c r="A28" s="31" t="s">
        <v>89</v>
      </c>
      <c r="B28" s="32" t="s">
        <v>90</v>
      </c>
      <c r="C28" s="32"/>
      <c r="D28" s="32"/>
      <c r="E28" s="32"/>
      <c r="F28" s="32"/>
      <c r="G28" s="32"/>
    </row>
    <row r="29" customFormat="false" ht="15" hidden="false" customHeight="false" outlineLevel="0" collapsed="false">
      <c r="A29" s="31" t="s">
        <v>91</v>
      </c>
      <c r="B29" s="32" t="s">
        <v>92</v>
      </c>
      <c r="C29" s="32"/>
      <c r="D29" s="32"/>
      <c r="E29" s="32"/>
      <c r="F29" s="32"/>
      <c r="G29" s="32"/>
    </row>
    <row r="30" customFormat="false" ht="15" hidden="false" customHeight="false" outlineLevel="0" collapsed="false">
      <c r="B30" s="32" t="s">
        <v>93</v>
      </c>
      <c r="C30" s="32"/>
      <c r="D30" s="32"/>
      <c r="E30" s="32"/>
      <c r="F30" s="32"/>
      <c r="G30" s="32"/>
    </row>
    <row r="31" customFormat="false" ht="15" hidden="false" customHeight="false" outlineLevel="0" collapsed="false">
      <c r="B31" s="32" t="s">
        <v>94</v>
      </c>
      <c r="C31" s="32"/>
      <c r="D31" s="32"/>
      <c r="E31" s="32"/>
      <c r="F31" s="32"/>
      <c r="G31" s="32"/>
    </row>
    <row r="32" customFormat="false" ht="15" hidden="false" customHeight="false" outlineLevel="0" collapsed="false">
      <c r="B32" s="32" t="s">
        <v>95</v>
      </c>
      <c r="C32" s="32"/>
      <c r="D32" s="32"/>
      <c r="E32" s="32"/>
      <c r="F32" s="32"/>
      <c r="G32" s="32"/>
    </row>
    <row r="33" customFormat="false" ht="15" hidden="false" customHeight="false" outlineLevel="0" collapsed="false">
      <c r="B33" s="32" t="s">
        <v>96</v>
      </c>
      <c r="C33" s="32"/>
      <c r="D33" s="32"/>
      <c r="E33" s="32"/>
      <c r="F33" s="32"/>
      <c r="G33" s="32"/>
    </row>
    <row r="34" customFormat="false" ht="15" hidden="false" customHeight="false" outlineLevel="0" collapsed="false">
      <c r="B34" s="32" t="s">
        <v>97</v>
      </c>
      <c r="C34" s="32"/>
      <c r="D34" s="32"/>
      <c r="E34" s="32"/>
      <c r="F34" s="32"/>
      <c r="G34" s="32"/>
    </row>
    <row r="35" customFormat="false" ht="15" hidden="false" customHeight="false" outlineLevel="0" collapsed="false">
      <c r="B35" s="32" t="s">
        <v>98</v>
      </c>
      <c r="C35" s="32"/>
      <c r="D35" s="32"/>
      <c r="E35" s="32"/>
      <c r="F35" s="32"/>
      <c r="G35" s="32"/>
    </row>
    <row r="36" customFormat="false" ht="15" hidden="false" customHeight="false" outlineLevel="0" collapsed="false">
      <c r="A36" s="31" t="s">
        <v>99</v>
      </c>
      <c r="B36" s="32" t="s">
        <v>100</v>
      </c>
      <c r="C36" s="32"/>
      <c r="D36" s="32"/>
      <c r="E36" s="32"/>
      <c r="F36" s="32"/>
      <c r="G36" s="32"/>
    </row>
    <row r="37" customFormat="false" ht="15" hidden="false" customHeight="false" outlineLevel="0" collapsed="false">
      <c r="A37" s="31" t="s">
        <v>101</v>
      </c>
      <c r="B37" s="32" t="s">
        <v>102</v>
      </c>
      <c r="C37" s="32"/>
      <c r="D37" s="32"/>
      <c r="E37" s="32"/>
      <c r="F37" s="32"/>
      <c r="G37" s="32"/>
    </row>
  </sheetData>
  <mergeCells count="17">
    <mergeCell ref="A1:G1"/>
    <mergeCell ref="A3:C3"/>
    <mergeCell ref="A9:G9"/>
    <mergeCell ref="A16:C16"/>
    <mergeCell ref="A25:G25"/>
    <mergeCell ref="B26:G26"/>
    <mergeCell ref="B27:G27"/>
    <mergeCell ref="B28:G28"/>
    <mergeCell ref="B29:G29"/>
    <mergeCell ref="B30:G30"/>
    <mergeCell ref="B31:G31"/>
    <mergeCell ref="B32:G32"/>
    <mergeCell ref="B33:G33"/>
    <mergeCell ref="B34:G34"/>
    <mergeCell ref="B35:G35"/>
    <mergeCell ref="B36:G36"/>
    <mergeCell ref="B37:G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2026-09-09T03:33:56Z</dcterms:created>
  <dc:creator>openpyxl</dc:creator>
  <dc:description/>
  <dc:language>en-US</dc:language>
  <cp:lastModifiedBy/>
  <dcterms:modified xsi:type="dcterms:W3CDTF">2026-09-09T03:33:56Z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