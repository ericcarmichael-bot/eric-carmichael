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Inputs" sheetId="1" state="visible" r:id="rId1"/>
    <sheet name="Constraints" sheetId="2" state="visible" r:id="rId2"/>
    <sheet name="Marginal Analysis" sheetId="3" state="visible" r:id="rId3"/>
    <sheet name="Output" sheetId="4" state="visible" r:id="rId4"/>
  </sheets>
  <definedNames>
    <definedName name="Beds_Available" hidden="0" function="0" vbProcedure="0">Inputs!$B$14</definedName>
    <definedName name="Blended_Labor_Rate" hidden="0" function="0" vbProcedure="0">Output!$B$21</definedName>
    <definedName name="Carrot_Beds" hidden="0" function="0" vbProcedure="0">Output!$B$6</definedName>
    <definedName name="Carrot_Bed_Cap" hidden="0" function="0" vbProcedure="0">Inputs!$B$7</definedName>
    <definedName name="Carrot_Dim_Return" hidden="0" function="0" vbProcedure="0">Inputs!$F$7</definedName>
    <definedName name="Carrot_Fertilizer" hidden="0" function="0" vbProcedure="0">Inputs!$E$7</definedName>
    <definedName name="Carrot_Price" hidden="0" function="0" vbProcedure="0">Inputs!$C$7</definedName>
    <definedName name="Carrrot_Hours" hidden="0" function="0" vbProcedure="0">Inputs!$D$7</definedName>
    <definedName name="Farmer_Cost" hidden="0" function="0" vbProcedure="0">Inputs!$B$16</definedName>
    <definedName name="Farmer_Hours" hidden="0" function="0" vbProcedure="0">Inputs!$B$15</definedName>
    <definedName name="Fixed_Costs" hidden="0" function="0" vbProcedure="0">Inputs!$B$13</definedName>
    <definedName name="Mesclun_Beds" hidden="0" function="0" vbProcedure="0">Output!$B$7</definedName>
    <definedName name="Mesclun_Bed_Cap" hidden="0" function="0" vbProcedure="0">Inputs!$B$8</definedName>
    <definedName name="Mesclun_Dim_Return" hidden="0" function="0" vbProcedure="0">Inputs!$F$8</definedName>
    <definedName name="Mesclun_Fertilizer" hidden="0" function="0" vbProcedure="0">Inputs!$E$8</definedName>
    <definedName name="Mesclun_Hours" hidden="0" function="0" vbProcedure="0">Inputs!$D$8</definedName>
    <definedName name="Mesclun_Price" hidden="0" function="0" vbProcedure="0">Inputs!$C$8</definedName>
    <definedName name="Season" hidden="0" function="0" vbProcedure="0">Inputs!$B$12</definedName>
    <definedName name="Temp_Worker_Cost" hidden="0" function="0" vbProcedure="0">Inputs!$B$18</definedName>
    <definedName name="Temp_Worker_Count" hidden="0" function="0" vbProcedure="0">Inputs!$B$17</definedName>
    <definedName name="Temp_Worker_Hours_Each" hidden="0" function="0" vbProcedure="0">Inputs!$B$19</definedName>
    <definedName name="Tomato_Beds" hidden="0" function="0" vbProcedure="0">Output!$B$5</definedName>
    <definedName name="Tomato_Bed_Cap" hidden="0" function="0" vbProcedure="0">Inputs!$B$6</definedName>
    <definedName name="Tomato_Dim_Return" hidden="0" function="0" vbProcedure="0">Inputs!$F$6</definedName>
    <definedName name="Tomato_Fertizer" hidden="0" function="0" vbProcedure="0">Inputs!$E$6</definedName>
    <definedName name="Tomato_Hours" hidden="0" function="0" vbProcedure="0">Inputs!$D$6</definedName>
    <definedName name="Tomato_Price" hidden="0" function="0" vbProcedure="0">Inputs!$C$6</definedName>
    <definedName name="Total_Beds" hidden="0" function="0" vbProcedure="0">Output!$B$8</definedName>
    <definedName name="Total_Farm_Profit" hidden="0" function="0" vbProcedure="0">Output!$B$23</definedName>
    <definedName name="Total_Labor_Cost" hidden="0" function="0" vbProcedure="0">Output!$B$20</definedName>
    <definedName name="Total_Labor_Hours" hidden="0" function="0" vbProcedure="0">Output!$B$17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#,##0.0;\(#,##0.0\);\-"/>
    <numFmt numFmtId="166" formatCode="#,##0;\(#,##0\);\-"/>
    <numFmt numFmtId="167" formatCode="\$#,##0.00;&quot;($&quot;#,##0.00\);\-"/>
    <numFmt numFmtId="168" formatCode="\$#,##0.0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i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9"/>
    </font>
    <font>
      <name val="Arial"/>
      <charset val="1"/>
      <family val="0"/>
      <i val="1"/>
      <color rgb="FF7F7F7F"/>
      <sz val="9"/>
    </font>
  </fonts>
  <fills count="6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center" vertical="bottom"/>
    </xf>
    <xf numFmtId="166" fontId="0" fillId="0" borderId="1" applyAlignment="1" pivotButton="0" quotePrefix="0" xfId="0">
      <alignment horizontal="general" vertical="bottom"/>
    </xf>
    <xf numFmtId="166" fontId="8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165" fontId="8" fillId="5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center" vertical="bottom"/>
    </xf>
    <xf numFmtId="166" fontId="0" fillId="0" borderId="1" applyAlignment="1" pivotButton="0" quotePrefix="0" xfId="0">
      <alignment horizontal="general" vertical="bottom"/>
    </xf>
    <xf numFmtId="166" fontId="8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165" fontId="8" fillId="5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168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7B7B7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8"/>
    <outlinePr summaryBelow="1" summaryRight="1"/>
    <pageSetUpPr fitToPage="0"/>
  </sheetPr>
  <dimension ref="A1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6" customWidth="1" style="34" min="1" max="1"/>
    <col width="14" customWidth="1" style="34" min="2" max="2"/>
    <col width="12" customWidth="1" style="34" min="3" max="3"/>
    <col width="16" customWidth="1" style="34" min="4" max="4"/>
    <col width="14" customWidth="1" style="34" min="5" max="5"/>
    <col width="20" customWidth="1" style="34" min="6" max="6"/>
    <col width="26" customWidth="1" style="34" min="7" max="7"/>
  </cols>
  <sheetData>
    <row r="1" ht="17.25" customHeight="1" s="35">
      <c r="A1" s="36" t="inlineStr">
        <is>
          <t>Marginal Analysis — Crop &amp; Farm Inputs</t>
        </is>
      </c>
    </row>
    <row r="2" ht="15" customHeight="1" s="35">
      <c r="A2" s="37" t="inlineStr">
        <is>
          <t>Case scenario: single-season crop mix. All inputs below are the named contract from spec.md — do not hardcode these values elsewhere; reference the named ranges.</t>
        </is>
      </c>
    </row>
    <row r="4" ht="15" customHeight="1" s="35">
      <c r="A4" s="38" t="inlineStr">
        <is>
          <t>Crop Table</t>
        </is>
      </c>
    </row>
    <row r="5" ht="26.25" customHeight="1" s="35">
      <c r="A5" s="39" t="inlineStr">
        <is>
          <t>Crop</t>
        </is>
      </c>
      <c r="B5" s="39" t="inlineStr">
        <is>
          <t>Bed Cap (# beds)</t>
        </is>
      </c>
      <c r="C5" s="39" t="inlineStr">
        <is>
          <t>Price ($/bed)</t>
        </is>
      </c>
      <c r="D5" s="39" t="inlineStr">
        <is>
          <t>Hours (hrs/wk/bed)</t>
        </is>
      </c>
      <c r="E5" s="39" t="inlineStr">
        <is>
          <t>Fertilizer ($/bed)</t>
        </is>
      </c>
      <c r="F5" s="39" t="inlineStr">
        <is>
          <t>Diminishing Return Rate (%/bed, compounding)</t>
        </is>
      </c>
      <c r="G5" s="39" t="inlineStr">
        <is>
          <t>Source</t>
        </is>
      </c>
    </row>
    <row r="6" ht="15" customHeight="1" s="35">
      <c r="A6" s="40" t="inlineStr">
        <is>
          <t>Tomatoes</t>
        </is>
      </c>
      <c r="B6" s="41" t="n">
        <v>20</v>
      </c>
      <c r="C6" s="42" t="n">
        <v>8800</v>
      </c>
      <c r="D6" s="43" t="n">
        <v>2.5</v>
      </c>
      <c r="E6" s="42" t="n">
        <v>880</v>
      </c>
      <c r="F6" s="44" t="n">
        <v>0.1</v>
      </c>
      <c r="G6" s="45" t="inlineStr">
        <is>
          <t>Case scenario, crop table</t>
        </is>
      </c>
    </row>
    <row r="7" ht="15" customHeight="1" s="35">
      <c r="A7" s="40" t="inlineStr">
        <is>
          <t>Carrots</t>
        </is>
      </c>
      <c r="B7" s="41" t="n">
        <v>20</v>
      </c>
      <c r="C7" s="42" t="n">
        <v>2094</v>
      </c>
      <c r="D7" s="43">
        <f>2.5/3</f>
        <v/>
      </c>
      <c r="E7" s="42" t="n">
        <v>440</v>
      </c>
      <c r="F7" s="44" t="n">
        <v>0.025</v>
      </c>
      <c r="G7" s="45" t="inlineStr">
        <is>
          <t>Case scenario, crop table</t>
        </is>
      </c>
    </row>
    <row r="8" ht="15" customHeight="1" s="35">
      <c r="A8" s="40" t="inlineStr">
        <is>
          <t>Mesclun</t>
        </is>
      </c>
      <c r="B8" s="41" t="n">
        <v>30</v>
      </c>
      <c r="C8" s="42" t="n">
        <v>2700</v>
      </c>
      <c r="D8" s="43" t="n">
        <v>1.25</v>
      </c>
      <c r="E8" s="42" t="n">
        <v>880</v>
      </c>
      <c r="F8" s="44" t="n">
        <v>0.0125</v>
      </c>
      <c r="G8" s="45" t="inlineStr">
        <is>
          <t>Case scenario, crop table</t>
        </is>
      </c>
    </row>
    <row r="10" ht="15" customHeight="1" s="35">
      <c r="A10" s="38" t="inlineStr">
        <is>
          <t>Farm Table</t>
        </is>
      </c>
    </row>
    <row r="11" ht="15" customHeight="1" s="35">
      <c r="A11" s="39" t="inlineStr">
        <is>
          <t>Parameter</t>
        </is>
      </c>
      <c r="B11" s="39" t="inlineStr">
        <is>
          <t>Value</t>
        </is>
      </c>
      <c r="C11" s="39" t="inlineStr">
        <is>
          <t>Unit</t>
        </is>
      </c>
      <c r="D11" s="39" t="inlineStr">
        <is>
          <t>Source</t>
        </is>
      </c>
    </row>
    <row r="12" ht="15" customHeight="1" s="35">
      <c r="A12" s="40" t="inlineStr">
        <is>
          <t>Season</t>
        </is>
      </c>
      <c r="B12" s="46" t="n">
        <v>36</v>
      </c>
      <c r="C12" s="47" t="inlineStr">
        <is>
          <t>weeks per season</t>
        </is>
      </c>
      <c r="D12" s="45" t="inlineStr">
        <is>
          <t>Case scenario, farm table</t>
        </is>
      </c>
    </row>
    <row r="13" ht="15" customHeight="1" s="35">
      <c r="A13" s="40" t="inlineStr">
        <is>
          <t>Fixed_Costs</t>
        </is>
      </c>
      <c r="B13" s="42" t="n">
        <v>20000</v>
      </c>
      <c r="C13" s="47" t="inlineStr">
        <is>
          <t>USD per season</t>
        </is>
      </c>
      <c r="D13" s="45" t="inlineStr">
        <is>
          <t>Case scenario, farm table</t>
        </is>
      </c>
    </row>
    <row r="14" ht="15" customHeight="1" s="35">
      <c r="A14" s="40" t="inlineStr">
        <is>
          <t>Beds_Available</t>
        </is>
      </c>
      <c r="B14" s="46" t="n">
        <v>64</v>
      </c>
      <c r="C14" s="47" t="inlineStr">
        <is>
          <t>total beds available this season</t>
        </is>
      </c>
      <c r="D14" s="45" t="inlineStr">
        <is>
          <t>Case scenario, farm table</t>
        </is>
      </c>
    </row>
    <row r="15" ht="15" customHeight="1" s="35">
      <c r="A15" s="40" t="inlineStr">
        <is>
          <t>Farmer_Hours</t>
        </is>
      </c>
      <c r="B15" s="46" t="n">
        <v>720</v>
      </c>
      <c r="C15" s="47" t="inlineStr">
        <is>
          <t>hours available to work per season</t>
        </is>
      </c>
      <c r="D15" s="45" t="inlineStr">
        <is>
          <t>Case scenario, farm table</t>
        </is>
      </c>
    </row>
    <row r="16" ht="15" customHeight="1" s="35">
      <c r="A16" s="40" t="inlineStr">
        <is>
          <t>Farmer_Cost</t>
        </is>
      </c>
      <c r="B16" s="48">
        <f>25000/720</f>
        <v/>
      </c>
      <c r="C16" s="47" t="inlineStr">
        <is>
          <t>USD per hour worked</t>
        </is>
      </c>
      <c r="D16" s="45" t="inlineStr">
        <is>
          <t>Case scenario, farm table</t>
        </is>
      </c>
    </row>
    <row r="17" ht="15" customHeight="1" s="35">
      <c r="A17" s="40" t="inlineStr">
        <is>
          <t>Temp_Worker_Count</t>
        </is>
      </c>
      <c r="B17" s="46" t="n">
        <v>4</v>
      </c>
      <c r="C17" s="47" t="inlineStr">
        <is>
          <t>number of available temp workers</t>
        </is>
      </c>
      <c r="D17" s="45" t="inlineStr">
        <is>
          <t>Case scenario, farm table</t>
        </is>
      </c>
    </row>
    <row r="18" ht="15" customHeight="1" s="35">
      <c r="A18" s="40" t="inlineStr">
        <is>
          <t>Temp_Worker_Cost</t>
        </is>
      </c>
      <c r="B18" s="48">
        <f>25000/1440</f>
        <v/>
      </c>
      <c r="C18" s="47" t="inlineStr">
        <is>
          <t>USD per hour worked</t>
        </is>
      </c>
      <c r="D18" s="45" t="inlineStr">
        <is>
          <t>Case scenario, farm table</t>
        </is>
      </c>
    </row>
    <row r="19" ht="15" customHeight="1" s="35">
      <c r="A19" s="40" t="inlineStr">
        <is>
          <t>Temp_Worker_Hours_Each</t>
        </is>
      </c>
      <c r="B19" s="46" t="n">
        <v>1440</v>
      </c>
      <c r="C19" s="47" t="inlineStr">
        <is>
          <t>hours available per season, EACH temp worker</t>
        </is>
      </c>
      <c r="D19" s="45" t="inlineStr">
        <is>
          <t>Case scenario, farm table</t>
        </is>
      </c>
    </row>
    <row r="22" ht="27.75" customHeight="1" s="35">
      <c r="A22" s="49" t="inlineStr">
        <is>
          <t>Labor(q) formula (applied per crop, not a single named range — q is the beds planted of that specific crop): Labor(q) = q × Hours-per-bed-per-week × Season × (1 + Diminishing Return Rate)^q. See the 'Marginal Analysis' sheet.</t>
        </is>
      </c>
    </row>
    <row r="23" ht="15" customHeight="1" s="35">
      <c r="A23" s="50" t="inlineStr">
        <is>
          <t>Note: named ranges 'Tomato_Fertizer' and 'Carrrot_Hours' intentionally preserve the exact spelling given in spec.md's named contract.</t>
        </is>
      </c>
    </row>
  </sheetData>
  <mergeCells count="6">
    <mergeCell ref="A1:D1"/>
    <mergeCell ref="A22:G22"/>
    <mergeCell ref="A4:G4"/>
    <mergeCell ref="A2:D2"/>
    <mergeCell ref="A10:D10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BF8F00"/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2" customWidth="1" style="34" min="1" max="1"/>
    <col width="20" customWidth="1" style="34" min="2" max="2"/>
    <col width="10" customWidth="1" style="34" min="3" max="3"/>
    <col width="24" customWidth="1" style="34" min="4" max="4"/>
    <col width="14" customWidth="1" style="34" min="5" max="5"/>
  </cols>
  <sheetData>
    <row r="1" ht="17.25" customHeight="1" s="35">
      <c r="A1" s="36" t="inlineStr">
        <is>
          <t>Marginal Analysis — Constraints</t>
        </is>
      </c>
    </row>
    <row r="3" ht="15" customHeight="1" s="35">
      <c r="A3" s="39" t="inlineStr">
        <is>
          <t>Constraint</t>
        </is>
      </c>
      <c r="B3" s="39" t="inlineStr">
        <is>
          <t>LHS (actual)</t>
        </is>
      </c>
      <c r="C3" s="39" t="n"/>
      <c r="D3" s="39" t="inlineStr">
        <is>
          <t>RHS (limit)</t>
        </is>
      </c>
      <c r="E3" s="39" t="inlineStr">
        <is>
          <t>Status</t>
        </is>
      </c>
    </row>
    <row r="4" ht="15" customHeight="1" s="35">
      <c r="A4" s="51" t="inlineStr">
        <is>
          <t>Tomato beds within crop bed cap</t>
        </is>
      </c>
      <c r="B4" s="52">
        <f>Tomato_Beds</f>
        <v/>
      </c>
      <c r="C4" s="53" t="inlineStr">
        <is>
          <t>&lt;=</t>
        </is>
      </c>
      <c r="D4" s="52">
        <f>Tomato_Bed_Cap</f>
        <v/>
      </c>
      <c r="E4" s="54">
        <f>IF(B4&lt;=D4,"OK","VIOLATION")</f>
        <v/>
      </c>
    </row>
    <row r="5" ht="15" customHeight="1" s="35">
      <c r="A5" s="51" t="inlineStr">
        <is>
          <t>Carrot beds within crop bed cap</t>
        </is>
      </c>
      <c r="B5" s="52">
        <f>Carrot_Beds</f>
        <v/>
      </c>
      <c r="C5" s="53" t="inlineStr">
        <is>
          <t>&lt;=</t>
        </is>
      </c>
      <c r="D5" s="52">
        <f>Carrot_Bed_Cap</f>
        <v/>
      </c>
      <c r="E5" s="54">
        <f>IF(B5&lt;=D5,"OK","VIOLATION")</f>
        <v/>
      </c>
    </row>
    <row r="6" ht="15" customHeight="1" s="35">
      <c r="A6" s="51" t="inlineStr">
        <is>
          <t>Mesclun beds within crop bed cap</t>
        </is>
      </c>
      <c r="B6" s="52">
        <f>Mesclun_Beds</f>
        <v/>
      </c>
      <c r="C6" s="53" t="inlineStr">
        <is>
          <t>&lt;=</t>
        </is>
      </c>
      <c r="D6" s="52">
        <f>Mesclun_Bed_Cap</f>
        <v/>
      </c>
      <c r="E6" s="54">
        <f>IF(B6&lt;=D6,"OK","VIOLATION")</f>
        <v/>
      </c>
    </row>
    <row r="7" ht="15" customHeight="1" s="35">
      <c r="A7" s="51" t="inlineStr">
        <is>
          <t>Total beds within farm bed capacity</t>
        </is>
      </c>
      <c r="B7" s="52">
        <f>Total_Beds</f>
        <v/>
      </c>
      <c r="C7" s="53" t="inlineStr">
        <is>
          <t>&lt;=</t>
        </is>
      </c>
      <c r="D7" s="52">
        <f>Beds_Available</f>
        <v/>
      </c>
      <c r="E7" s="54">
        <f>IF(B7&lt;=D7,"OK","VIOLATION")</f>
        <v/>
      </c>
    </row>
    <row r="8" ht="15" customHeight="1" s="35">
      <c r="A8" s="51" t="inlineStr">
        <is>
          <t>Total labor hours within farm labor capacity</t>
        </is>
      </c>
      <c r="B8" s="52">
        <f>Total_Labor_Hours</f>
        <v/>
      </c>
      <c r="C8" s="53" t="inlineStr">
        <is>
          <t>&lt;=</t>
        </is>
      </c>
      <c r="D8" s="52">
        <f>Farmer_Hours+Temp_Worker_Count*Temp_Worker_Hours_Each</f>
        <v/>
      </c>
      <c r="E8" s="54">
        <f>IF(B8&lt;=D8,"OK","VIOLATION")</f>
        <v/>
      </c>
    </row>
    <row r="9" ht="15" customHeight="1" s="35">
      <c r="A9" s="51" t="inlineStr">
        <is>
          <t>Tomato beds non-negative whole number</t>
        </is>
      </c>
      <c r="B9" s="52">
        <f>Tomato_Beds</f>
        <v/>
      </c>
      <c r="C9" s="51" t="inlineStr">
        <is>
          <t>whole #, &gt;= 0</t>
        </is>
      </c>
      <c r="D9" s="51" t="n"/>
      <c r="E9" s="54">
        <f>IF(AND(B9&gt;=0,MOD(B9,1)=0),"OK","VIOLATION")</f>
        <v/>
      </c>
    </row>
    <row r="10" ht="15" customHeight="1" s="35">
      <c r="A10" s="51" t="inlineStr">
        <is>
          <t>Carrot beds non-negative whole number</t>
        </is>
      </c>
      <c r="B10" s="52">
        <f>Carrot_Beds</f>
        <v/>
      </c>
      <c r="C10" s="51" t="inlineStr">
        <is>
          <t>whole #, &gt;= 0</t>
        </is>
      </c>
      <c r="D10" s="51" t="n"/>
      <c r="E10" s="54">
        <f>IF(AND(B10&gt;=0,MOD(B10,1)=0),"OK","VIOLATION")</f>
        <v/>
      </c>
    </row>
    <row r="11" ht="15" customHeight="1" s="35">
      <c r="A11" s="51" t="inlineStr">
        <is>
          <t>Mesclun beds non-negative whole number</t>
        </is>
      </c>
      <c r="B11" s="52">
        <f>Mesclun_Beds</f>
        <v/>
      </c>
      <c r="C11" s="51" t="inlineStr">
        <is>
          <t>whole #, &gt;= 0</t>
        </is>
      </c>
      <c r="D11" s="51" t="n"/>
      <c r="E11" s="54">
        <f>IF(AND(B11&gt;=0,MOD(B11,1)=0),"OK","VIOLATION")</f>
        <v/>
      </c>
    </row>
    <row r="13" ht="15" customHeight="1" s="35">
      <c r="A13" s="40" t="inlineStr">
        <is>
          <t>All Constraints Satisfied?</t>
        </is>
      </c>
      <c r="B13" s="51" t="n"/>
      <c r="C13" s="51" t="n"/>
      <c r="D13" s="51" t="n"/>
      <c r="E13" s="54">
        <f>IF(COUNTIF(E4:E11,"VIOLATION")=0,"OK","CHECK VIOLATIONS")</f>
        <v/>
      </c>
    </row>
  </sheetData>
  <mergeCells count="1">
    <mergeCell ref="A1:E1"/>
  </mergeCells>
  <conditionalFormatting sqref="E4">
    <cfRule type="cellIs" rank="0" priority="2" equalAverage="0" operator="equal" aboveAverage="0" dxfId="0" text="" percent="0" bottom="0">
      <formula>"VIOLATION"</formula>
    </cfRule>
    <cfRule type="cellIs" rank="0" priority="3" equalAverage="0" operator="equal" aboveAverage="0" dxfId="1" text="" percent="0" bottom="0">
      <formula>"OK"</formula>
    </cfRule>
  </conditionalFormatting>
  <conditionalFormatting sqref="E5">
    <cfRule type="cellIs" rank="0" priority="4" equalAverage="0" operator="equal" aboveAverage="0" dxfId="0" text="" percent="0" bottom="0">
      <formula>"VIOLATION"</formula>
    </cfRule>
    <cfRule type="cellIs" rank="0" priority="5" equalAverage="0" operator="equal" aboveAverage="0" dxfId="1" text="" percent="0" bottom="0">
      <formula>"OK"</formula>
    </cfRule>
  </conditionalFormatting>
  <conditionalFormatting sqref="E6">
    <cfRule type="cellIs" rank="0" priority="6" equalAverage="0" operator="equal" aboveAverage="0" dxfId="0" text="" percent="0" bottom="0">
      <formula>"VIOLATION"</formula>
    </cfRule>
    <cfRule type="cellIs" rank="0" priority="7" equalAverage="0" operator="equal" aboveAverage="0" dxfId="1" text="" percent="0" bottom="0">
      <formula>"OK"</formula>
    </cfRule>
  </conditionalFormatting>
  <conditionalFormatting sqref="E7">
    <cfRule type="cellIs" rank="0" priority="8" equalAverage="0" operator="equal" aboveAverage="0" dxfId="0" text="" percent="0" bottom="0">
      <formula>"VIOLATION"</formula>
    </cfRule>
    <cfRule type="cellIs" rank="0" priority="9" equalAverage="0" operator="equal" aboveAverage="0" dxfId="1" text="" percent="0" bottom="0">
      <formula>"OK"</formula>
    </cfRule>
  </conditionalFormatting>
  <conditionalFormatting sqref="E8">
    <cfRule type="cellIs" rank="0" priority="10" equalAverage="0" operator="equal" aboveAverage="0" dxfId="0" text="" percent="0" bottom="0">
      <formula>"VIOLATION"</formula>
    </cfRule>
    <cfRule type="cellIs" rank="0" priority="11" equalAverage="0" operator="equal" aboveAverage="0" dxfId="1" text="" percent="0" bottom="0">
      <formula>"OK"</formula>
    </cfRule>
  </conditionalFormatting>
  <conditionalFormatting sqref="E9">
    <cfRule type="cellIs" rank="0" priority="12" equalAverage="0" operator="equal" aboveAverage="0" dxfId="0" text="" percent="0" bottom="0">
      <formula>"VIOLATION"</formula>
    </cfRule>
    <cfRule type="cellIs" rank="0" priority="13" equalAverage="0" operator="equal" aboveAverage="0" dxfId="1" text="" percent="0" bottom="0">
      <formula>"OK"</formula>
    </cfRule>
  </conditionalFormatting>
  <conditionalFormatting sqref="E10">
    <cfRule type="cellIs" rank="0" priority="14" equalAverage="0" operator="equal" aboveAverage="0" dxfId="0" text="" percent="0" bottom="0">
      <formula>"VIOLATION"</formula>
    </cfRule>
    <cfRule type="cellIs" rank="0" priority="15" equalAverage="0" operator="equal" aboveAverage="0" dxfId="1" text="" percent="0" bottom="0">
      <formula>"OK"</formula>
    </cfRule>
  </conditionalFormatting>
  <conditionalFormatting sqref="E11">
    <cfRule type="cellIs" rank="0" priority="16" equalAverage="0" operator="equal" aboveAverage="0" dxfId="0" text="" percent="0" bottom="0">
      <formula>"VIOLATION"</formula>
    </cfRule>
    <cfRule type="cellIs" rank="0" priority="17" equalAverage="0" operator="equal" aboveAverage="0" dxfId="1" text="" percent="0" bottom="0">
      <formula>"OK"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I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2" customWidth="1" style="34" min="1" max="1"/>
    <col width="8" customWidth="1" style="34" min="2" max="2"/>
    <col width="18" customWidth="1" style="34" min="3" max="4"/>
    <col width="16" customWidth="1" style="34" min="5" max="5"/>
    <col width="18" customWidth="1" style="34" min="6" max="6"/>
    <col width="20" customWidth="1" style="34" min="7" max="7"/>
    <col width="16" customWidth="1" style="34" min="8" max="9"/>
    <col width="20" customWidth="1" style="34" min="10" max="10"/>
  </cols>
  <sheetData>
    <row r="1" ht="17.25" customHeight="1" s="35">
      <c r="A1" s="36" t="inlineStr">
        <is>
          <t>Marginal Analysis — Bed-by-Bed Cross-Over Mechanism</t>
        </is>
      </c>
    </row>
    <row r="2" ht="25.5" customHeight="1" s="35">
      <c r="A2" s="55" t="inlineStr">
        <is>
          <t>Marginal labor cost uses the true marginal wage of the next hour, not the blended P&amp;L rate (see Conventions). For each crop's table, farm-wide cumulative hours = the OTHER two crops' total hours at their Solver-selected bed counts + this crop's own cumulative hours through bed q. Hours within that cumulative total up to Farmer_Hours (720) are costed at Farmer_Cost; hours beyond 720 are costed at Temp_Worker_Cost. Cross-over = the bed at which the next bed's marginal profit turns negative.</t>
        </is>
      </c>
    </row>
    <row r="4" ht="15" customHeight="1" s="35">
      <c r="A4" s="38" t="inlineStr">
        <is>
          <t>Tomatoes</t>
        </is>
      </c>
    </row>
    <row r="5" ht="51.75" customHeight="1" s="35">
      <c r="A5" s="39" t="inlineStr">
        <is>
          <t>Beds Planted (q)</t>
        </is>
      </c>
      <c r="B5" s="39" t="inlineStr">
        <is>
          <t>Cumulative Labor Hours (hrs)</t>
        </is>
      </c>
      <c r="C5" s="39" t="inlineStr">
        <is>
          <t>Marginal Labor Hours (hrs)</t>
        </is>
      </c>
      <c r="D5" s="39" t="inlineStr">
        <is>
          <t>Marginal Revenue ($)</t>
        </is>
      </c>
      <c r="E5" s="39" t="inlineStr">
        <is>
          <t>Marginal Fertilizer Cost ($)</t>
        </is>
      </c>
      <c r="F5" s="39" t="inlineStr">
        <is>
          <t>Marginal Labor Cost ($, marginal rate)</t>
        </is>
      </c>
      <c r="G5" s="39" t="inlineStr">
        <is>
          <t>Marginal Profit ($)</t>
        </is>
      </c>
      <c r="H5" s="39" t="inlineStr">
        <is>
          <t>Cumulative Profit ($)</t>
        </is>
      </c>
      <c r="I5" s="39" t="inlineStr">
        <is>
          <t>Notes</t>
        </is>
      </c>
    </row>
    <row r="6" ht="15" customHeight="1" s="35">
      <c r="A6" s="56">
        <f>ROW()-5</f>
        <v/>
      </c>
      <c r="B6" s="52">
        <f>IF(A6&lt;=Tomato_Bed_Cap,A6*Tomato_Hours*Season*(1+Tomato_Dim_Return)^A6,"")</f>
        <v/>
      </c>
      <c r="C6" s="52">
        <f>IF(A6&lt;=Tomato_Bed_Cap,B6,"")</f>
        <v/>
      </c>
      <c r="D6" s="57">
        <f>IF(A6&lt;=Tomato_Bed_Cap,Tomato_Price,"")</f>
        <v/>
      </c>
      <c r="E6" s="57">
        <f>IF(A6&lt;=Tomato_Bed_Cap,Tomato_Fertizer,"")</f>
        <v/>
      </c>
      <c r="F6" s="57">
        <f>IF(A6&lt;=Tomato_Bed_Cap,MAX(0,MIN((Carrot_Beds*Carrrot_Hours*Season*(1+Carrot_Dim_Return)^Carrot_Beds+Mesclun_Beds*Mesclun_Hours*Season*(1+Mesclun_Dim_Return)^Mesclun_Beds)+B6,Farmer_Hours)-MIN((Carrot_Beds*Carrrot_Hours*Season*(1+Carrot_Dim_Return)^Carrot_Beds+Mesclun_Beds*Mesclun_Hours*Season*(1+Mesclun_Dim_Return)^Mesclun_Beds)+IF(ISNUMBER(B5),B5,0),Farmer_Hours))*Farmer_Cost+(C6-MAX(0,MIN((Carrot_Beds*Carrrot_Hours*Season*(1+Carrot_Dim_Return)^Carrot_Beds+Mesclun_Beds*Mesclun_Hours*Season*(1+Mesclun_Dim_Return)^Mesclun_Beds)+B6,Farmer_Hours)-MIN((Carrot_Beds*Carrrot_Hours*Season*(1+Carrot_Dim_Return)^Carrot_Beds+Mesclun_Beds*Mesclun_Hours*Season*(1+Mesclun_Dim_Return)^Mesclun_Beds)+IF(ISNUMBER(B5),B5,0),Farmer_Hours)))*Temp_Worker_Cost,"")</f>
        <v/>
      </c>
      <c r="G6" s="57">
        <f>IF(A6&lt;=Tomato_Bed_Cap,D6-E6-F6,"")</f>
        <v/>
      </c>
      <c r="H6" s="57">
        <f>IF(A6&lt;=Tomato_Bed_Cap,G6,"")</f>
        <v/>
      </c>
      <c r="I6" s="51">
        <f>IF((A6=Tomato_Beds),"&lt;- Solver-selected","")</f>
        <v/>
      </c>
    </row>
    <row r="7" ht="15" customHeight="1" s="35">
      <c r="A7" s="56">
        <f>ROW()-5</f>
        <v/>
      </c>
      <c r="B7" s="52">
        <f>IF(A7&lt;=Tomato_Bed_Cap,A7*Tomato_Hours*Season*(1+Tomato_Dim_Return)^A7,"")</f>
        <v/>
      </c>
      <c r="C7" s="52">
        <f>IF(A7&lt;=Tomato_Bed_Cap,B7-IF(ISNUMBER(B6),B6,0),"")</f>
        <v/>
      </c>
      <c r="D7" s="57">
        <f>IF(A7&lt;=Tomato_Bed_Cap,Tomato_Price,"")</f>
        <v/>
      </c>
      <c r="E7" s="57">
        <f>IF(A7&lt;=Tomato_Bed_Cap,Tomato_Fertizer,"")</f>
        <v/>
      </c>
      <c r="F7" s="57">
        <f>IF(A7&lt;=Tomato_Bed_Cap,MAX(0,MIN((Carrot_Beds*Carrrot_Hours*Season*(1+Carrot_Dim_Return)^Carrot_Beds+Mesclun_Beds*Mesclun_Hours*Season*(1+Mesclun_Dim_Return)^Mesclun_Beds)+B7,Farmer_Hours)-MIN((Carrot_Beds*Carrrot_Hours*Season*(1+Carrot_Dim_Return)^Carrot_Beds+Mesclun_Beds*Mesclun_Hours*Season*(1+Mesclun_Dim_Return)^Mesclun_Beds)+IF(ISNUMBER(B6),B6,0),Farmer_Hours))*Farmer_Cost+(C7-MAX(0,MIN((Carrot_Beds*Carrrot_Hours*Season*(1+Carrot_Dim_Return)^Carrot_Beds+Mesclun_Beds*Mesclun_Hours*Season*(1+Mesclun_Dim_Return)^Mesclun_Beds)+B7,Farmer_Hours)-MIN((Carrot_Beds*Carrrot_Hours*Season*(1+Carrot_Dim_Return)^Carrot_Beds+Mesclun_Beds*Mesclun_Hours*Season*(1+Mesclun_Dim_Return)^Mesclun_Beds)+IF(ISNUMBER(B6),B6,0),Farmer_Hours)))*Temp_Worker_Cost,"")</f>
        <v/>
      </c>
      <c r="G7" s="57">
        <f>IF(A7&lt;=Tomato_Bed_Cap,D7-E7-F7,"")</f>
        <v/>
      </c>
      <c r="H7" s="57">
        <f>IF(A7&lt;=Tomato_Bed_Cap,IF(ISNUMBER(H6),H6,0)+G7,"")</f>
        <v/>
      </c>
      <c r="I7" s="51">
        <f>IF(AND(AND(ISNUMBER(G7),G7&lt;0,ISNUMBER(G6),G6&gt;=0),(A7=Tomato_Beds)),"&lt;- Cross-over &amp; Solver-selected",IF(AND(ISNUMBER(G7),G7&lt;0,ISNUMBER(G6),G6&gt;=0),"&lt;- Cross-over (next bed unprofitable)",IF((A7=Tomato_Beds),"&lt;- Solver-selected","")))</f>
        <v/>
      </c>
    </row>
    <row r="8" ht="15" customHeight="1" s="35">
      <c r="A8" s="56">
        <f>ROW()-5</f>
        <v/>
      </c>
      <c r="B8" s="52">
        <f>IF(A8&lt;=Tomato_Bed_Cap,A8*Tomato_Hours*Season*(1+Tomato_Dim_Return)^A8,"")</f>
        <v/>
      </c>
      <c r="C8" s="52">
        <f>IF(A8&lt;=Tomato_Bed_Cap,B8-IF(ISNUMBER(B7),B7,0),"")</f>
        <v/>
      </c>
      <c r="D8" s="57">
        <f>IF(A8&lt;=Tomato_Bed_Cap,Tomato_Price,"")</f>
        <v/>
      </c>
      <c r="E8" s="57">
        <f>IF(A8&lt;=Tomato_Bed_Cap,Tomato_Fertizer,"")</f>
        <v/>
      </c>
      <c r="F8" s="57">
        <f>IF(A8&lt;=Tomato_Bed_Cap,MAX(0,MIN((Carrot_Beds*Carrrot_Hours*Season*(1+Carrot_Dim_Return)^Carrot_Beds+Mesclun_Beds*Mesclun_Hours*Season*(1+Mesclun_Dim_Return)^Mesclun_Beds)+B8,Farmer_Hours)-MIN((Carrot_Beds*Carrrot_Hours*Season*(1+Carrot_Dim_Return)^Carrot_Beds+Mesclun_Beds*Mesclun_Hours*Season*(1+Mesclun_Dim_Return)^Mesclun_Beds)+IF(ISNUMBER(B7),B7,0),Farmer_Hours))*Farmer_Cost+(C8-MAX(0,MIN((Carrot_Beds*Carrrot_Hours*Season*(1+Carrot_Dim_Return)^Carrot_Beds+Mesclun_Beds*Mesclun_Hours*Season*(1+Mesclun_Dim_Return)^Mesclun_Beds)+B8,Farmer_Hours)-MIN((Carrot_Beds*Carrrot_Hours*Season*(1+Carrot_Dim_Return)^Carrot_Beds+Mesclun_Beds*Mesclun_Hours*Season*(1+Mesclun_Dim_Return)^Mesclun_Beds)+IF(ISNUMBER(B7),B7,0),Farmer_Hours)))*Temp_Worker_Cost,"")</f>
        <v/>
      </c>
      <c r="G8" s="57">
        <f>IF(A8&lt;=Tomato_Bed_Cap,D8-E8-F8,"")</f>
        <v/>
      </c>
      <c r="H8" s="57">
        <f>IF(A8&lt;=Tomato_Bed_Cap,IF(ISNUMBER(H7),H7,0)+G8,"")</f>
        <v/>
      </c>
      <c r="I8" s="51">
        <f>IF(AND(AND(ISNUMBER(G8),G8&lt;0,ISNUMBER(G7),G7&gt;=0),(A8=Tomato_Beds)),"&lt;- Cross-over &amp; Solver-selected",IF(AND(ISNUMBER(G8),G8&lt;0,ISNUMBER(G7),G7&gt;=0),"&lt;- Cross-over (next bed unprofitable)",IF((A8=Tomato_Beds),"&lt;- Solver-selected","")))</f>
        <v/>
      </c>
    </row>
    <row r="9" ht="15" customHeight="1" s="35">
      <c r="A9" s="56">
        <f>ROW()-5</f>
        <v/>
      </c>
      <c r="B9" s="52">
        <f>IF(A9&lt;=Tomato_Bed_Cap,A9*Tomato_Hours*Season*(1+Tomato_Dim_Return)^A9,"")</f>
        <v/>
      </c>
      <c r="C9" s="52">
        <f>IF(A9&lt;=Tomato_Bed_Cap,B9-IF(ISNUMBER(B8),B8,0),"")</f>
        <v/>
      </c>
      <c r="D9" s="57">
        <f>IF(A9&lt;=Tomato_Bed_Cap,Tomato_Price,"")</f>
        <v/>
      </c>
      <c r="E9" s="57">
        <f>IF(A9&lt;=Tomato_Bed_Cap,Tomato_Fertizer,"")</f>
        <v/>
      </c>
      <c r="F9" s="57">
        <f>IF(A9&lt;=Tomato_Bed_Cap,MAX(0,MIN((Carrot_Beds*Carrrot_Hours*Season*(1+Carrot_Dim_Return)^Carrot_Beds+Mesclun_Beds*Mesclun_Hours*Season*(1+Mesclun_Dim_Return)^Mesclun_Beds)+B9,Farmer_Hours)-MIN((Carrot_Beds*Carrrot_Hours*Season*(1+Carrot_Dim_Return)^Carrot_Beds+Mesclun_Beds*Mesclun_Hours*Season*(1+Mesclun_Dim_Return)^Mesclun_Beds)+IF(ISNUMBER(B8),B8,0),Farmer_Hours))*Farmer_Cost+(C9-MAX(0,MIN((Carrot_Beds*Carrrot_Hours*Season*(1+Carrot_Dim_Return)^Carrot_Beds+Mesclun_Beds*Mesclun_Hours*Season*(1+Mesclun_Dim_Return)^Mesclun_Beds)+B9,Farmer_Hours)-MIN((Carrot_Beds*Carrrot_Hours*Season*(1+Carrot_Dim_Return)^Carrot_Beds+Mesclun_Beds*Mesclun_Hours*Season*(1+Mesclun_Dim_Return)^Mesclun_Beds)+IF(ISNUMBER(B8),B8,0),Farmer_Hours)))*Temp_Worker_Cost,"")</f>
        <v/>
      </c>
      <c r="G9" s="57">
        <f>IF(A9&lt;=Tomato_Bed_Cap,D9-E9-F9,"")</f>
        <v/>
      </c>
      <c r="H9" s="57">
        <f>IF(A9&lt;=Tomato_Bed_Cap,IF(ISNUMBER(H8),H8,0)+G9,"")</f>
        <v/>
      </c>
      <c r="I9" s="51">
        <f>IF(AND(AND(ISNUMBER(G9),G9&lt;0,ISNUMBER(G8),G8&gt;=0),(A9=Tomato_Beds)),"&lt;- Cross-over &amp; Solver-selected",IF(AND(ISNUMBER(G9),G9&lt;0,ISNUMBER(G8),G8&gt;=0),"&lt;- Cross-over (next bed unprofitable)",IF((A9=Tomato_Beds),"&lt;- Solver-selected","")))</f>
        <v/>
      </c>
    </row>
    <row r="10" ht="15" customHeight="1" s="35">
      <c r="A10" s="56">
        <f>ROW()-5</f>
        <v/>
      </c>
      <c r="B10" s="52">
        <f>IF(A10&lt;=Tomato_Bed_Cap,A10*Tomato_Hours*Season*(1+Tomato_Dim_Return)^A10,"")</f>
        <v/>
      </c>
      <c r="C10" s="52">
        <f>IF(A10&lt;=Tomato_Bed_Cap,B10-IF(ISNUMBER(B9),B9,0),"")</f>
        <v/>
      </c>
      <c r="D10" s="57">
        <f>IF(A10&lt;=Tomato_Bed_Cap,Tomato_Price,"")</f>
        <v/>
      </c>
      <c r="E10" s="57">
        <f>IF(A10&lt;=Tomato_Bed_Cap,Tomato_Fertizer,"")</f>
        <v/>
      </c>
      <c r="F10" s="57">
        <f>IF(A10&lt;=Tomato_Bed_Cap,MAX(0,MIN((Carrot_Beds*Carrrot_Hours*Season*(1+Carrot_Dim_Return)^Carrot_Beds+Mesclun_Beds*Mesclun_Hours*Season*(1+Mesclun_Dim_Return)^Mesclun_Beds)+B10,Farmer_Hours)-MIN((Carrot_Beds*Carrrot_Hours*Season*(1+Carrot_Dim_Return)^Carrot_Beds+Mesclun_Beds*Mesclun_Hours*Season*(1+Mesclun_Dim_Return)^Mesclun_Beds)+IF(ISNUMBER(B9),B9,0),Farmer_Hours))*Farmer_Cost+(C10-MAX(0,MIN((Carrot_Beds*Carrrot_Hours*Season*(1+Carrot_Dim_Return)^Carrot_Beds+Mesclun_Beds*Mesclun_Hours*Season*(1+Mesclun_Dim_Return)^Mesclun_Beds)+B10,Farmer_Hours)-MIN((Carrot_Beds*Carrrot_Hours*Season*(1+Carrot_Dim_Return)^Carrot_Beds+Mesclun_Beds*Mesclun_Hours*Season*(1+Mesclun_Dim_Return)^Mesclun_Beds)+IF(ISNUMBER(B9),B9,0),Farmer_Hours)))*Temp_Worker_Cost,"")</f>
        <v/>
      </c>
      <c r="G10" s="57">
        <f>IF(A10&lt;=Tomato_Bed_Cap,D10-E10-F10,"")</f>
        <v/>
      </c>
      <c r="H10" s="57">
        <f>IF(A10&lt;=Tomato_Bed_Cap,IF(ISNUMBER(H9),H9,0)+G10,"")</f>
        <v/>
      </c>
      <c r="I10" s="51">
        <f>IF(AND(AND(ISNUMBER(G10),G10&lt;0,ISNUMBER(G9),G9&gt;=0),(A10=Tomato_Beds)),"&lt;- Cross-over &amp; Solver-selected",IF(AND(ISNUMBER(G10),G10&lt;0,ISNUMBER(G9),G9&gt;=0),"&lt;- Cross-over (next bed unprofitable)",IF((A10=Tomato_Beds),"&lt;- Solver-selected","")))</f>
        <v/>
      </c>
    </row>
    <row r="11" ht="15" customHeight="1" s="35">
      <c r="A11" s="56">
        <f>ROW()-5</f>
        <v/>
      </c>
      <c r="B11" s="52">
        <f>IF(A11&lt;=Tomato_Bed_Cap,A11*Tomato_Hours*Season*(1+Tomato_Dim_Return)^A11,"")</f>
        <v/>
      </c>
      <c r="C11" s="52">
        <f>IF(A11&lt;=Tomato_Bed_Cap,B11-IF(ISNUMBER(B10),B10,0),"")</f>
        <v/>
      </c>
      <c r="D11" s="57">
        <f>IF(A11&lt;=Tomato_Bed_Cap,Tomato_Price,"")</f>
        <v/>
      </c>
      <c r="E11" s="57">
        <f>IF(A11&lt;=Tomato_Bed_Cap,Tomato_Fertizer,"")</f>
        <v/>
      </c>
      <c r="F11" s="57">
        <f>IF(A11&lt;=Tomato_Bed_Cap,MAX(0,MIN((Carrot_Beds*Carrrot_Hours*Season*(1+Carrot_Dim_Return)^Carrot_Beds+Mesclun_Beds*Mesclun_Hours*Season*(1+Mesclun_Dim_Return)^Mesclun_Beds)+B11,Farmer_Hours)-MIN((Carrot_Beds*Carrrot_Hours*Season*(1+Carrot_Dim_Return)^Carrot_Beds+Mesclun_Beds*Mesclun_Hours*Season*(1+Mesclun_Dim_Return)^Mesclun_Beds)+IF(ISNUMBER(B10),B10,0),Farmer_Hours))*Farmer_Cost+(C11-MAX(0,MIN((Carrot_Beds*Carrrot_Hours*Season*(1+Carrot_Dim_Return)^Carrot_Beds+Mesclun_Beds*Mesclun_Hours*Season*(1+Mesclun_Dim_Return)^Mesclun_Beds)+B11,Farmer_Hours)-MIN((Carrot_Beds*Carrrot_Hours*Season*(1+Carrot_Dim_Return)^Carrot_Beds+Mesclun_Beds*Mesclun_Hours*Season*(1+Mesclun_Dim_Return)^Mesclun_Beds)+IF(ISNUMBER(B10),B10,0),Farmer_Hours)))*Temp_Worker_Cost,"")</f>
        <v/>
      </c>
      <c r="G11" s="57">
        <f>IF(A11&lt;=Tomato_Bed_Cap,D11-E11-F11,"")</f>
        <v/>
      </c>
      <c r="H11" s="57">
        <f>IF(A11&lt;=Tomato_Bed_Cap,IF(ISNUMBER(H10),H10,0)+G11,"")</f>
        <v/>
      </c>
      <c r="I11" s="51">
        <f>IF(AND(AND(ISNUMBER(G11),G11&lt;0,ISNUMBER(G10),G10&gt;=0),(A11=Tomato_Beds)),"&lt;- Cross-over &amp; Solver-selected",IF(AND(ISNUMBER(G11),G11&lt;0,ISNUMBER(G10),G10&gt;=0),"&lt;- Cross-over (next bed unprofitable)",IF((A11=Tomato_Beds),"&lt;- Solver-selected","")))</f>
        <v/>
      </c>
    </row>
    <row r="12" ht="15" customHeight="1" s="35">
      <c r="A12" s="56">
        <f>ROW()-5</f>
        <v/>
      </c>
      <c r="B12" s="52">
        <f>IF(A12&lt;=Tomato_Bed_Cap,A12*Tomato_Hours*Season*(1+Tomato_Dim_Return)^A12,"")</f>
        <v/>
      </c>
      <c r="C12" s="52">
        <f>IF(A12&lt;=Tomato_Bed_Cap,B12-IF(ISNUMBER(B11),B11,0),"")</f>
        <v/>
      </c>
      <c r="D12" s="57">
        <f>IF(A12&lt;=Tomato_Bed_Cap,Tomato_Price,"")</f>
        <v/>
      </c>
      <c r="E12" s="57">
        <f>IF(A12&lt;=Tomato_Bed_Cap,Tomato_Fertizer,"")</f>
        <v/>
      </c>
      <c r="F12" s="57">
        <f>IF(A12&lt;=Tomato_Bed_Cap,MAX(0,MIN((Carrot_Beds*Carrrot_Hours*Season*(1+Carrot_Dim_Return)^Carrot_Beds+Mesclun_Beds*Mesclun_Hours*Season*(1+Mesclun_Dim_Return)^Mesclun_Beds)+B12,Farmer_Hours)-MIN((Carrot_Beds*Carrrot_Hours*Season*(1+Carrot_Dim_Return)^Carrot_Beds+Mesclun_Beds*Mesclun_Hours*Season*(1+Mesclun_Dim_Return)^Mesclun_Beds)+IF(ISNUMBER(B11),B11,0),Farmer_Hours))*Farmer_Cost+(C12-MAX(0,MIN((Carrot_Beds*Carrrot_Hours*Season*(1+Carrot_Dim_Return)^Carrot_Beds+Mesclun_Beds*Mesclun_Hours*Season*(1+Mesclun_Dim_Return)^Mesclun_Beds)+B12,Farmer_Hours)-MIN((Carrot_Beds*Carrrot_Hours*Season*(1+Carrot_Dim_Return)^Carrot_Beds+Mesclun_Beds*Mesclun_Hours*Season*(1+Mesclun_Dim_Return)^Mesclun_Beds)+IF(ISNUMBER(B11),B11,0),Farmer_Hours)))*Temp_Worker_Cost,"")</f>
        <v/>
      </c>
      <c r="G12" s="57">
        <f>IF(A12&lt;=Tomato_Bed_Cap,D12-E12-F12,"")</f>
        <v/>
      </c>
      <c r="H12" s="57">
        <f>IF(A12&lt;=Tomato_Bed_Cap,IF(ISNUMBER(H11),H11,0)+G12,"")</f>
        <v/>
      </c>
      <c r="I12" s="51">
        <f>IF(AND(AND(ISNUMBER(G12),G12&lt;0,ISNUMBER(G11),G11&gt;=0),(A12=Tomato_Beds)),"&lt;- Cross-over &amp; Solver-selected",IF(AND(ISNUMBER(G12),G12&lt;0,ISNUMBER(G11),G11&gt;=0),"&lt;- Cross-over (next bed unprofitable)",IF((A12=Tomato_Beds),"&lt;- Solver-selected","")))</f>
        <v/>
      </c>
    </row>
    <row r="13" ht="15" customHeight="1" s="35">
      <c r="A13" s="56">
        <f>ROW()-5</f>
        <v/>
      </c>
      <c r="B13" s="52">
        <f>IF(A13&lt;=Tomato_Bed_Cap,A13*Tomato_Hours*Season*(1+Tomato_Dim_Return)^A13,"")</f>
        <v/>
      </c>
      <c r="C13" s="52">
        <f>IF(A13&lt;=Tomato_Bed_Cap,B13-IF(ISNUMBER(B12),B12,0),"")</f>
        <v/>
      </c>
      <c r="D13" s="57">
        <f>IF(A13&lt;=Tomato_Bed_Cap,Tomato_Price,"")</f>
        <v/>
      </c>
      <c r="E13" s="57">
        <f>IF(A13&lt;=Tomato_Bed_Cap,Tomato_Fertizer,"")</f>
        <v/>
      </c>
      <c r="F13" s="57">
        <f>IF(A13&lt;=Tomato_Bed_Cap,MAX(0,MIN((Carrot_Beds*Carrrot_Hours*Season*(1+Carrot_Dim_Return)^Carrot_Beds+Mesclun_Beds*Mesclun_Hours*Season*(1+Mesclun_Dim_Return)^Mesclun_Beds)+B13,Farmer_Hours)-MIN((Carrot_Beds*Carrrot_Hours*Season*(1+Carrot_Dim_Return)^Carrot_Beds+Mesclun_Beds*Mesclun_Hours*Season*(1+Mesclun_Dim_Return)^Mesclun_Beds)+IF(ISNUMBER(B12),B12,0),Farmer_Hours))*Farmer_Cost+(C13-MAX(0,MIN((Carrot_Beds*Carrrot_Hours*Season*(1+Carrot_Dim_Return)^Carrot_Beds+Mesclun_Beds*Mesclun_Hours*Season*(1+Mesclun_Dim_Return)^Mesclun_Beds)+B13,Farmer_Hours)-MIN((Carrot_Beds*Carrrot_Hours*Season*(1+Carrot_Dim_Return)^Carrot_Beds+Mesclun_Beds*Mesclun_Hours*Season*(1+Mesclun_Dim_Return)^Mesclun_Beds)+IF(ISNUMBER(B12),B12,0),Farmer_Hours)))*Temp_Worker_Cost,"")</f>
        <v/>
      </c>
      <c r="G13" s="57">
        <f>IF(A13&lt;=Tomato_Bed_Cap,D13-E13-F13,"")</f>
        <v/>
      </c>
      <c r="H13" s="57">
        <f>IF(A13&lt;=Tomato_Bed_Cap,IF(ISNUMBER(H12),H12,0)+G13,"")</f>
        <v/>
      </c>
      <c r="I13" s="51">
        <f>IF(AND(AND(ISNUMBER(G13),G13&lt;0,ISNUMBER(G12),G12&gt;=0),(A13=Tomato_Beds)),"&lt;- Cross-over &amp; Solver-selected",IF(AND(ISNUMBER(G13),G13&lt;0,ISNUMBER(G12),G12&gt;=0),"&lt;- Cross-over (next bed unprofitable)",IF((A13=Tomato_Beds),"&lt;- Solver-selected","")))</f>
        <v/>
      </c>
    </row>
    <row r="14" ht="15" customHeight="1" s="35">
      <c r="A14" s="56">
        <f>ROW()-5</f>
        <v/>
      </c>
      <c r="B14" s="52">
        <f>IF(A14&lt;=Tomato_Bed_Cap,A14*Tomato_Hours*Season*(1+Tomato_Dim_Return)^A14,"")</f>
        <v/>
      </c>
      <c r="C14" s="52">
        <f>IF(A14&lt;=Tomato_Bed_Cap,B14-IF(ISNUMBER(B13),B13,0),"")</f>
        <v/>
      </c>
      <c r="D14" s="57">
        <f>IF(A14&lt;=Tomato_Bed_Cap,Tomato_Price,"")</f>
        <v/>
      </c>
      <c r="E14" s="57">
        <f>IF(A14&lt;=Tomato_Bed_Cap,Tomato_Fertizer,"")</f>
        <v/>
      </c>
      <c r="F14" s="57">
        <f>IF(A14&lt;=Tomato_Bed_Cap,MAX(0,MIN((Carrot_Beds*Carrrot_Hours*Season*(1+Carrot_Dim_Return)^Carrot_Beds+Mesclun_Beds*Mesclun_Hours*Season*(1+Mesclun_Dim_Return)^Mesclun_Beds)+B14,Farmer_Hours)-MIN((Carrot_Beds*Carrrot_Hours*Season*(1+Carrot_Dim_Return)^Carrot_Beds+Mesclun_Beds*Mesclun_Hours*Season*(1+Mesclun_Dim_Return)^Mesclun_Beds)+IF(ISNUMBER(B13),B13,0),Farmer_Hours))*Farmer_Cost+(C14-MAX(0,MIN((Carrot_Beds*Carrrot_Hours*Season*(1+Carrot_Dim_Return)^Carrot_Beds+Mesclun_Beds*Mesclun_Hours*Season*(1+Mesclun_Dim_Return)^Mesclun_Beds)+B14,Farmer_Hours)-MIN((Carrot_Beds*Carrrot_Hours*Season*(1+Carrot_Dim_Return)^Carrot_Beds+Mesclun_Beds*Mesclun_Hours*Season*(1+Mesclun_Dim_Return)^Mesclun_Beds)+IF(ISNUMBER(B13),B13,0),Farmer_Hours)))*Temp_Worker_Cost,"")</f>
        <v/>
      </c>
      <c r="G14" s="57">
        <f>IF(A14&lt;=Tomato_Bed_Cap,D14-E14-F14,"")</f>
        <v/>
      </c>
      <c r="H14" s="57">
        <f>IF(A14&lt;=Tomato_Bed_Cap,IF(ISNUMBER(H13),H13,0)+G14,"")</f>
        <v/>
      </c>
      <c r="I14" s="51">
        <f>IF(AND(AND(ISNUMBER(G14),G14&lt;0,ISNUMBER(G13),G13&gt;=0),(A14=Tomato_Beds)),"&lt;- Cross-over &amp; Solver-selected",IF(AND(ISNUMBER(G14),G14&lt;0,ISNUMBER(G13),G13&gt;=0),"&lt;- Cross-over (next bed unprofitable)",IF((A14=Tomato_Beds),"&lt;- Solver-selected","")))</f>
        <v/>
      </c>
    </row>
    <row r="15" ht="15" customHeight="1" s="35">
      <c r="A15" s="56">
        <f>ROW()-5</f>
        <v/>
      </c>
      <c r="B15" s="52">
        <f>IF(A15&lt;=Tomato_Bed_Cap,A15*Tomato_Hours*Season*(1+Tomato_Dim_Return)^A15,"")</f>
        <v/>
      </c>
      <c r="C15" s="52">
        <f>IF(A15&lt;=Tomato_Bed_Cap,B15-IF(ISNUMBER(B14),B14,0),"")</f>
        <v/>
      </c>
      <c r="D15" s="57">
        <f>IF(A15&lt;=Tomato_Bed_Cap,Tomato_Price,"")</f>
        <v/>
      </c>
      <c r="E15" s="57">
        <f>IF(A15&lt;=Tomato_Bed_Cap,Tomato_Fertizer,"")</f>
        <v/>
      </c>
      <c r="F15" s="57">
        <f>IF(A15&lt;=Tomato_Bed_Cap,MAX(0,MIN((Carrot_Beds*Carrrot_Hours*Season*(1+Carrot_Dim_Return)^Carrot_Beds+Mesclun_Beds*Mesclun_Hours*Season*(1+Mesclun_Dim_Return)^Mesclun_Beds)+B15,Farmer_Hours)-MIN((Carrot_Beds*Carrrot_Hours*Season*(1+Carrot_Dim_Return)^Carrot_Beds+Mesclun_Beds*Mesclun_Hours*Season*(1+Mesclun_Dim_Return)^Mesclun_Beds)+IF(ISNUMBER(B14),B14,0),Farmer_Hours))*Farmer_Cost+(C15-MAX(0,MIN((Carrot_Beds*Carrrot_Hours*Season*(1+Carrot_Dim_Return)^Carrot_Beds+Mesclun_Beds*Mesclun_Hours*Season*(1+Mesclun_Dim_Return)^Mesclun_Beds)+B15,Farmer_Hours)-MIN((Carrot_Beds*Carrrot_Hours*Season*(1+Carrot_Dim_Return)^Carrot_Beds+Mesclun_Beds*Mesclun_Hours*Season*(1+Mesclun_Dim_Return)^Mesclun_Beds)+IF(ISNUMBER(B14),B14,0),Farmer_Hours)))*Temp_Worker_Cost,"")</f>
        <v/>
      </c>
      <c r="G15" s="57">
        <f>IF(A15&lt;=Tomato_Bed_Cap,D15-E15-F15,"")</f>
        <v/>
      </c>
      <c r="H15" s="57">
        <f>IF(A15&lt;=Tomato_Bed_Cap,IF(ISNUMBER(H14),H14,0)+G15,"")</f>
        <v/>
      </c>
      <c r="I15" s="51">
        <f>IF(AND(AND(ISNUMBER(G15),G15&lt;0,ISNUMBER(G14),G14&gt;=0),(A15=Tomato_Beds)),"&lt;- Cross-over &amp; Solver-selected",IF(AND(ISNUMBER(G15),G15&lt;0,ISNUMBER(G14),G14&gt;=0),"&lt;- Cross-over (next bed unprofitable)",IF((A15=Tomato_Beds),"&lt;- Solver-selected","")))</f>
        <v/>
      </c>
    </row>
    <row r="16" ht="15" customHeight="1" s="35">
      <c r="A16" s="56">
        <f>ROW()-5</f>
        <v/>
      </c>
      <c r="B16" s="52">
        <f>IF(A16&lt;=Tomato_Bed_Cap,A16*Tomato_Hours*Season*(1+Tomato_Dim_Return)^A16,"")</f>
        <v/>
      </c>
      <c r="C16" s="52">
        <f>IF(A16&lt;=Tomato_Bed_Cap,B16-IF(ISNUMBER(B15),B15,0),"")</f>
        <v/>
      </c>
      <c r="D16" s="57">
        <f>IF(A16&lt;=Tomato_Bed_Cap,Tomato_Price,"")</f>
        <v/>
      </c>
      <c r="E16" s="57">
        <f>IF(A16&lt;=Tomato_Bed_Cap,Tomato_Fertizer,"")</f>
        <v/>
      </c>
      <c r="F16" s="57">
        <f>IF(A16&lt;=Tomato_Bed_Cap,MAX(0,MIN((Carrot_Beds*Carrrot_Hours*Season*(1+Carrot_Dim_Return)^Carrot_Beds+Mesclun_Beds*Mesclun_Hours*Season*(1+Mesclun_Dim_Return)^Mesclun_Beds)+B16,Farmer_Hours)-MIN((Carrot_Beds*Carrrot_Hours*Season*(1+Carrot_Dim_Return)^Carrot_Beds+Mesclun_Beds*Mesclun_Hours*Season*(1+Mesclun_Dim_Return)^Mesclun_Beds)+IF(ISNUMBER(B15),B15,0),Farmer_Hours))*Farmer_Cost+(C16-MAX(0,MIN((Carrot_Beds*Carrrot_Hours*Season*(1+Carrot_Dim_Return)^Carrot_Beds+Mesclun_Beds*Mesclun_Hours*Season*(1+Mesclun_Dim_Return)^Mesclun_Beds)+B16,Farmer_Hours)-MIN((Carrot_Beds*Carrrot_Hours*Season*(1+Carrot_Dim_Return)^Carrot_Beds+Mesclun_Beds*Mesclun_Hours*Season*(1+Mesclun_Dim_Return)^Mesclun_Beds)+IF(ISNUMBER(B15),B15,0),Farmer_Hours)))*Temp_Worker_Cost,"")</f>
        <v/>
      </c>
      <c r="G16" s="57">
        <f>IF(A16&lt;=Tomato_Bed_Cap,D16-E16-F16,"")</f>
        <v/>
      </c>
      <c r="H16" s="57">
        <f>IF(A16&lt;=Tomato_Bed_Cap,IF(ISNUMBER(H15),H15,0)+G16,"")</f>
        <v/>
      </c>
      <c r="I16" s="51">
        <f>IF(AND(AND(ISNUMBER(G16),G16&lt;0,ISNUMBER(G15),G15&gt;=0),(A16=Tomato_Beds)),"&lt;- Cross-over &amp; Solver-selected",IF(AND(ISNUMBER(G16),G16&lt;0,ISNUMBER(G15),G15&gt;=0),"&lt;- Cross-over (next bed unprofitable)",IF((A16=Tomato_Beds),"&lt;- Solver-selected","")))</f>
        <v/>
      </c>
    </row>
    <row r="17" ht="15" customHeight="1" s="35">
      <c r="A17" s="56">
        <f>ROW()-5</f>
        <v/>
      </c>
      <c r="B17" s="52">
        <f>IF(A17&lt;=Tomato_Bed_Cap,A17*Tomato_Hours*Season*(1+Tomato_Dim_Return)^A17,"")</f>
        <v/>
      </c>
      <c r="C17" s="52">
        <f>IF(A17&lt;=Tomato_Bed_Cap,B17-IF(ISNUMBER(B16),B16,0),"")</f>
        <v/>
      </c>
      <c r="D17" s="57">
        <f>IF(A17&lt;=Tomato_Bed_Cap,Tomato_Price,"")</f>
        <v/>
      </c>
      <c r="E17" s="57">
        <f>IF(A17&lt;=Tomato_Bed_Cap,Tomato_Fertizer,"")</f>
        <v/>
      </c>
      <c r="F17" s="57">
        <f>IF(A17&lt;=Tomato_Bed_Cap,MAX(0,MIN((Carrot_Beds*Carrrot_Hours*Season*(1+Carrot_Dim_Return)^Carrot_Beds+Mesclun_Beds*Mesclun_Hours*Season*(1+Mesclun_Dim_Return)^Mesclun_Beds)+B17,Farmer_Hours)-MIN((Carrot_Beds*Carrrot_Hours*Season*(1+Carrot_Dim_Return)^Carrot_Beds+Mesclun_Beds*Mesclun_Hours*Season*(1+Mesclun_Dim_Return)^Mesclun_Beds)+IF(ISNUMBER(B16),B16,0),Farmer_Hours))*Farmer_Cost+(C17-MAX(0,MIN((Carrot_Beds*Carrrot_Hours*Season*(1+Carrot_Dim_Return)^Carrot_Beds+Mesclun_Beds*Mesclun_Hours*Season*(1+Mesclun_Dim_Return)^Mesclun_Beds)+B17,Farmer_Hours)-MIN((Carrot_Beds*Carrrot_Hours*Season*(1+Carrot_Dim_Return)^Carrot_Beds+Mesclun_Beds*Mesclun_Hours*Season*(1+Mesclun_Dim_Return)^Mesclun_Beds)+IF(ISNUMBER(B16),B16,0),Farmer_Hours)))*Temp_Worker_Cost,"")</f>
        <v/>
      </c>
      <c r="G17" s="57">
        <f>IF(A17&lt;=Tomato_Bed_Cap,D17-E17-F17,"")</f>
        <v/>
      </c>
      <c r="H17" s="57">
        <f>IF(A17&lt;=Tomato_Bed_Cap,IF(ISNUMBER(H16),H16,0)+G17,"")</f>
        <v/>
      </c>
      <c r="I17" s="51">
        <f>IF(AND(AND(ISNUMBER(G17),G17&lt;0,ISNUMBER(G16),G16&gt;=0),(A17=Tomato_Beds)),"&lt;- Cross-over &amp; Solver-selected",IF(AND(ISNUMBER(G17),G17&lt;0,ISNUMBER(G16),G16&gt;=0),"&lt;- Cross-over (next bed unprofitable)",IF((A17=Tomato_Beds),"&lt;- Solver-selected","")))</f>
        <v/>
      </c>
    </row>
    <row r="18" ht="15" customHeight="1" s="35">
      <c r="A18" s="56">
        <f>ROW()-5</f>
        <v/>
      </c>
      <c r="B18" s="52">
        <f>IF(A18&lt;=Tomato_Bed_Cap,A18*Tomato_Hours*Season*(1+Tomato_Dim_Return)^A18,"")</f>
        <v/>
      </c>
      <c r="C18" s="52">
        <f>IF(A18&lt;=Tomato_Bed_Cap,B18-IF(ISNUMBER(B17),B17,0),"")</f>
        <v/>
      </c>
      <c r="D18" s="57">
        <f>IF(A18&lt;=Tomato_Bed_Cap,Tomato_Price,"")</f>
        <v/>
      </c>
      <c r="E18" s="57">
        <f>IF(A18&lt;=Tomato_Bed_Cap,Tomato_Fertizer,"")</f>
        <v/>
      </c>
      <c r="F18" s="57">
        <f>IF(A18&lt;=Tomato_Bed_Cap,MAX(0,MIN((Carrot_Beds*Carrrot_Hours*Season*(1+Carrot_Dim_Return)^Carrot_Beds+Mesclun_Beds*Mesclun_Hours*Season*(1+Mesclun_Dim_Return)^Mesclun_Beds)+B18,Farmer_Hours)-MIN((Carrot_Beds*Carrrot_Hours*Season*(1+Carrot_Dim_Return)^Carrot_Beds+Mesclun_Beds*Mesclun_Hours*Season*(1+Mesclun_Dim_Return)^Mesclun_Beds)+IF(ISNUMBER(B17),B17,0),Farmer_Hours))*Farmer_Cost+(C18-MAX(0,MIN((Carrot_Beds*Carrrot_Hours*Season*(1+Carrot_Dim_Return)^Carrot_Beds+Mesclun_Beds*Mesclun_Hours*Season*(1+Mesclun_Dim_Return)^Mesclun_Beds)+B18,Farmer_Hours)-MIN((Carrot_Beds*Carrrot_Hours*Season*(1+Carrot_Dim_Return)^Carrot_Beds+Mesclun_Beds*Mesclun_Hours*Season*(1+Mesclun_Dim_Return)^Mesclun_Beds)+IF(ISNUMBER(B17),B17,0),Farmer_Hours)))*Temp_Worker_Cost,"")</f>
        <v/>
      </c>
      <c r="G18" s="57">
        <f>IF(A18&lt;=Tomato_Bed_Cap,D18-E18-F18,"")</f>
        <v/>
      </c>
      <c r="H18" s="57">
        <f>IF(A18&lt;=Tomato_Bed_Cap,IF(ISNUMBER(H17),H17,0)+G18,"")</f>
        <v/>
      </c>
      <c r="I18" s="51">
        <f>IF(AND(AND(ISNUMBER(G18),G18&lt;0,ISNUMBER(G17),G17&gt;=0),(A18=Tomato_Beds)),"&lt;- Cross-over &amp; Solver-selected",IF(AND(ISNUMBER(G18),G18&lt;0,ISNUMBER(G17),G17&gt;=0),"&lt;- Cross-over (next bed unprofitable)",IF((A18=Tomato_Beds),"&lt;- Solver-selected","")))</f>
        <v/>
      </c>
    </row>
    <row r="19" ht="15" customHeight="1" s="35">
      <c r="A19" s="56">
        <f>ROW()-5</f>
        <v/>
      </c>
      <c r="B19" s="52">
        <f>IF(A19&lt;=Tomato_Bed_Cap,A19*Tomato_Hours*Season*(1+Tomato_Dim_Return)^A19,"")</f>
        <v/>
      </c>
      <c r="C19" s="52">
        <f>IF(A19&lt;=Tomato_Bed_Cap,B19-IF(ISNUMBER(B18),B18,0),"")</f>
        <v/>
      </c>
      <c r="D19" s="57">
        <f>IF(A19&lt;=Tomato_Bed_Cap,Tomato_Price,"")</f>
        <v/>
      </c>
      <c r="E19" s="57">
        <f>IF(A19&lt;=Tomato_Bed_Cap,Tomato_Fertizer,"")</f>
        <v/>
      </c>
      <c r="F19" s="57">
        <f>IF(A19&lt;=Tomato_Bed_Cap,MAX(0,MIN((Carrot_Beds*Carrrot_Hours*Season*(1+Carrot_Dim_Return)^Carrot_Beds+Mesclun_Beds*Mesclun_Hours*Season*(1+Mesclun_Dim_Return)^Mesclun_Beds)+B19,Farmer_Hours)-MIN((Carrot_Beds*Carrrot_Hours*Season*(1+Carrot_Dim_Return)^Carrot_Beds+Mesclun_Beds*Mesclun_Hours*Season*(1+Mesclun_Dim_Return)^Mesclun_Beds)+IF(ISNUMBER(B18),B18,0),Farmer_Hours))*Farmer_Cost+(C19-MAX(0,MIN((Carrot_Beds*Carrrot_Hours*Season*(1+Carrot_Dim_Return)^Carrot_Beds+Mesclun_Beds*Mesclun_Hours*Season*(1+Mesclun_Dim_Return)^Mesclun_Beds)+B19,Farmer_Hours)-MIN((Carrot_Beds*Carrrot_Hours*Season*(1+Carrot_Dim_Return)^Carrot_Beds+Mesclun_Beds*Mesclun_Hours*Season*(1+Mesclun_Dim_Return)^Mesclun_Beds)+IF(ISNUMBER(B18),B18,0),Farmer_Hours)))*Temp_Worker_Cost,"")</f>
        <v/>
      </c>
      <c r="G19" s="57">
        <f>IF(A19&lt;=Tomato_Bed_Cap,D19-E19-F19,"")</f>
        <v/>
      </c>
      <c r="H19" s="57">
        <f>IF(A19&lt;=Tomato_Bed_Cap,IF(ISNUMBER(H18),H18,0)+G19,"")</f>
        <v/>
      </c>
      <c r="I19" s="51">
        <f>IF(AND(AND(ISNUMBER(G19),G19&lt;0,ISNUMBER(G18),G18&gt;=0),(A19=Tomato_Beds)),"&lt;- Cross-over &amp; Solver-selected",IF(AND(ISNUMBER(G19),G19&lt;0,ISNUMBER(G18),G18&gt;=0),"&lt;- Cross-over (next bed unprofitable)",IF((A19=Tomato_Beds),"&lt;- Solver-selected","")))</f>
        <v/>
      </c>
    </row>
    <row r="20" ht="15" customHeight="1" s="35">
      <c r="A20" s="56">
        <f>ROW()-5</f>
        <v/>
      </c>
      <c r="B20" s="52">
        <f>IF(A20&lt;=Tomato_Bed_Cap,A20*Tomato_Hours*Season*(1+Tomato_Dim_Return)^A20,"")</f>
        <v/>
      </c>
      <c r="C20" s="52">
        <f>IF(A20&lt;=Tomato_Bed_Cap,B20-IF(ISNUMBER(B19),B19,0),"")</f>
        <v/>
      </c>
      <c r="D20" s="57">
        <f>IF(A20&lt;=Tomato_Bed_Cap,Tomato_Price,"")</f>
        <v/>
      </c>
      <c r="E20" s="57">
        <f>IF(A20&lt;=Tomato_Bed_Cap,Tomato_Fertizer,"")</f>
        <v/>
      </c>
      <c r="F20" s="57">
        <f>IF(A20&lt;=Tomato_Bed_Cap,MAX(0,MIN((Carrot_Beds*Carrrot_Hours*Season*(1+Carrot_Dim_Return)^Carrot_Beds+Mesclun_Beds*Mesclun_Hours*Season*(1+Mesclun_Dim_Return)^Mesclun_Beds)+B20,Farmer_Hours)-MIN((Carrot_Beds*Carrrot_Hours*Season*(1+Carrot_Dim_Return)^Carrot_Beds+Mesclun_Beds*Mesclun_Hours*Season*(1+Mesclun_Dim_Return)^Mesclun_Beds)+IF(ISNUMBER(B19),B19,0),Farmer_Hours))*Farmer_Cost+(C20-MAX(0,MIN((Carrot_Beds*Carrrot_Hours*Season*(1+Carrot_Dim_Return)^Carrot_Beds+Mesclun_Beds*Mesclun_Hours*Season*(1+Mesclun_Dim_Return)^Mesclun_Beds)+B20,Farmer_Hours)-MIN((Carrot_Beds*Carrrot_Hours*Season*(1+Carrot_Dim_Return)^Carrot_Beds+Mesclun_Beds*Mesclun_Hours*Season*(1+Mesclun_Dim_Return)^Mesclun_Beds)+IF(ISNUMBER(B19),B19,0),Farmer_Hours)))*Temp_Worker_Cost,"")</f>
        <v/>
      </c>
      <c r="G20" s="57">
        <f>IF(A20&lt;=Tomato_Bed_Cap,D20-E20-F20,"")</f>
        <v/>
      </c>
      <c r="H20" s="57">
        <f>IF(A20&lt;=Tomato_Bed_Cap,IF(ISNUMBER(H19),H19,0)+G20,"")</f>
        <v/>
      </c>
      <c r="I20" s="51">
        <f>IF(AND(AND(ISNUMBER(G20),G20&lt;0,ISNUMBER(G19),G19&gt;=0),(A20=Tomato_Beds)),"&lt;- Cross-over &amp; Solver-selected",IF(AND(ISNUMBER(G20),G20&lt;0,ISNUMBER(G19),G19&gt;=0),"&lt;- Cross-over (next bed unprofitable)",IF((A20=Tomato_Beds),"&lt;- Solver-selected","")))</f>
        <v/>
      </c>
    </row>
    <row r="21" ht="15" customHeight="1" s="35">
      <c r="A21" s="56">
        <f>ROW()-5</f>
        <v/>
      </c>
      <c r="B21" s="52">
        <f>IF(A21&lt;=Tomato_Bed_Cap,A21*Tomato_Hours*Season*(1+Tomato_Dim_Return)^A21,"")</f>
        <v/>
      </c>
      <c r="C21" s="52">
        <f>IF(A21&lt;=Tomato_Bed_Cap,B21-IF(ISNUMBER(B20),B20,0),"")</f>
        <v/>
      </c>
      <c r="D21" s="57">
        <f>IF(A21&lt;=Tomato_Bed_Cap,Tomato_Price,"")</f>
        <v/>
      </c>
      <c r="E21" s="57">
        <f>IF(A21&lt;=Tomato_Bed_Cap,Tomato_Fertizer,"")</f>
        <v/>
      </c>
      <c r="F21" s="57">
        <f>IF(A21&lt;=Tomato_Bed_Cap,MAX(0,MIN((Carrot_Beds*Carrrot_Hours*Season*(1+Carrot_Dim_Return)^Carrot_Beds+Mesclun_Beds*Mesclun_Hours*Season*(1+Mesclun_Dim_Return)^Mesclun_Beds)+B21,Farmer_Hours)-MIN((Carrot_Beds*Carrrot_Hours*Season*(1+Carrot_Dim_Return)^Carrot_Beds+Mesclun_Beds*Mesclun_Hours*Season*(1+Mesclun_Dim_Return)^Mesclun_Beds)+IF(ISNUMBER(B20),B20,0),Farmer_Hours))*Farmer_Cost+(C21-MAX(0,MIN((Carrot_Beds*Carrrot_Hours*Season*(1+Carrot_Dim_Return)^Carrot_Beds+Mesclun_Beds*Mesclun_Hours*Season*(1+Mesclun_Dim_Return)^Mesclun_Beds)+B21,Farmer_Hours)-MIN((Carrot_Beds*Carrrot_Hours*Season*(1+Carrot_Dim_Return)^Carrot_Beds+Mesclun_Beds*Mesclun_Hours*Season*(1+Mesclun_Dim_Return)^Mesclun_Beds)+IF(ISNUMBER(B20),B20,0),Farmer_Hours)))*Temp_Worker_Cost,"")</f>
        <v/>
      </c>
      <c r="G21" s="57">
        <f>IF(A21&lt;=Tomato_Bed_Cap,D21-E21-F21,"")</f>
        <v/>
      </c>
      <c r="H21" s="57">
        <f>IF(A21&lt;=Tomato_Bed_Cap,IF(ISNUMBER(H20),H20,0)+G21,"")</f>
        <v/>
      </c>
      <c r="I21" s="51">
        <f>IF(AND(AND(ISNUMBER(G21),G21&lt;0,ISNUMBER(G20),G20&gt;=0),(A21=Tomato_Beds)),"&lt;- Cross-over &amp; Solver-selected",IF(AND(ISNUMBER(G21),G21&lt;0,ISNUMBER(G20),G20&gt;=0),"&lt;- Cross-over (next bed unprofitable)",IF((A21=Tomato_Beds),"&lt;- Solver-selected","")))</f>
        <v/>
      </c>
    </row>
    <row r="22" ht="15" customHeight="1" s="35">
      <c r="A22" s="56">
        <f>ROW()-5</f>
        <v/>
      </c>
      <c r="B22" s="52">
        <f>IF(A22&lt;=Tomato_Bed_Cap,A22*Tomato_Hours*Season*(1+Tomato_Dim_Return)^A22,"")</f>
        <v/>
      </c>
      <c r="C22" s="52">
        <f>IF(A22&lt;=Tomato_Bed_Cap,B22-IF(ISNUMBER(B21),B21,0),"")</f>
        <v/>
      </c>
      <c r="D22" s="57">
        <f>IF(A22&lt;=Tomato_Bed_Cap,Tomato_Price,"")</f>
        <v/>
      </c>
      <c r="E22" s="57">
        <f>IF(A22&lt;=Tomato_Bed_Cap,Tomato_Fertizer,"")</f>
        <v/>
      </c>
      <c r="F22" s="57">
        <f>IF(A22&lt;=Tomato_Bed_Cap,MAX(0,MIN((Carrot_Beds*Carrrot_Hours*Season*(1+Carrot_Dim_Return)^Carrot_Beds+Mesclun_Beds*Mesclun_Hours*Season*(1+Mesclun_Dim_Return)^Mesclun_Beds)+B22,Farmer_Hours)-MIN((Carrot_Beds*Carrrot_Hours*Season*(1+Carrot_Dim_Return)^Carrot_Beds+Mesclun_Beds*Mesclun_Hours*Season*(1+Mesclun_Dim_Return)^Mesclun_Beds)+IF(ISNUMBER(B21),B21,0),Farmer_Hours))*Farmer_Cost+(C22-MAX(0,MIN((Carrot_Beds*Carrrot_Hours*Season*(1+Carrot_Dim_Return)^Carrot_Beds+Mesclun_Beds*Mesclun_Hours*Season*(1+Mesclun_Dim_Return)^Mesclun_Beds)+B22,Farmer_Hours)-MIN((Carrot_Beds*Carrrot_Hours*Season*(1+Carrot_Dim_Return)^Carrot_Beds+Mesclun_Beds*Mesclun_Hours*Season*(1+Mesclun_Dim_Return)^Mesclun_Beds)+IF(ISNUMBER(B21),B21,0),Farmer_Hours)))*Temp_Worker_Cost,"")</f>
        <v/>
      </c>
      <c r="G22" s="57">
        <f>IF(A22&lt;=Tomato_Bed_Cap,D22-E22-F22,"")</f>
        <v/>
      </c>
      <c r="H22" s="57">
        <f>IF(A22&lt;=Tomato_Bed_Cap,IF(ISNUMBER(H21),H21,0)+G22,"")</f>
        <v/>
      </c>
      <c r="I22" s="51">
        <f>IF(AND(AND(ISNUMBER(G22),G22&lt;0,ISNUMBER(G21),G21&gt;=0),(A22=Tomato_Beds)),"&lt;- Cross-over &amp; Solver-selected",IF(AND(ISNUMBER(G22),G22&lt;0,ISNUMBER(G21),G21&gt;=0),"&lt;- Cross-over (next bed unprofitable)",IF((A22=Tomato_Beds),"&lt;- Solver-selected","")))</f>
        <v/>
      </c>
    </row>
    <row r="23" ht="15" customHeight="1" s="35">
      <c r="A23" s="56">
        <f>ROW()-5</f>
        <v/>
      </c>
      <c r="B23" s="52">
        <f>IF(A23&lt;=Tomato_Bed_Cap,A23*Tomato_Hours*Season*(1+Tomato_Dim_Return)^A23,"")</f>
        <v/>
      </c>
      <c r="C23" s="52">
        <f>IF(A23&lt;=Tomato_Bed_Cap,B23-IF(ISNUMBER(B22),B22,0),"")</f>
        <v/>
      </c>
      <c r="D23" s="57">
        <f>IF(A23&lt;=Tomato_Bed_Cap,Tomato_Price,"")</f>
        <v/>
      </c>
      <c r="E23" s="57">
        <f>IF(A23&lt;=Tomato_Bed_Cap,Tomato_Fertizer,"")</f>
        <v/>
      </c>
      <c r="F23" s="57">
        <f>IF(A23&lt;=Tomato_Bed_Cap,MAX(0,MIN((Carrot_Beds*Carrrot_Hours*Season*(1+Carrot_Dim_Return)^Carrot_Beds+Mesclun_Beds*Mesclun_Hours*Season*(1+Mesclun_Dim_Return)^Mesclun_Beds)+B23,Farmer_Hours)-MIN((Carrot_Beds*Carrrot_Hours*Season*(1+Carrot_Dim_Return)^Carrot_Beds+Mesclun_Beds*Mesclun_Hours*Season*(1+Mesclun_Dim_Return)^Mesclun_Beds)+IF(ISNUMBER(B22),B22,0),Farmer_Hours))*Farmer_Cost+(C23-MAX(0,MIN((Carrot_Beds*Carrrot_Hours*Season*(1+Carrot_Dim_Return)^Carrot_Beds+Mesclun_Beds*Mesclun_Hours*Season*(1+Mesclun_Dim_Return)^Mesclun_Beds)+B23,Farmer_Hours)-MIN((Carrot_Beds*Carrrot_Hours*Season*(1+Carrot_Dim_Return)^Carrot_Beds+Mesclun_Beds*Mesclun_Hours*Season*(1+Mesclun_Dim_Return)^Mesclun_Beds)+IF(ISNUMBER(B22),B22,0),Farmer_Hours)))*Temp_Worker_Cost,"")</f>
        <v/>
      </c>
      <c r="G23" s="57">
        <f>IF(A23&lt;=Tomato_Bed_Cap,D23-E23-F23,"")</f>
        <v/>
      </c>
      <c r="H23" s="57">
        <f>IF(A23&lt;=Tomato_Bed_Cap,IF(ISNUMBER(H22),H22,0)+G23,"")</f>
        <v/>
      </c>
      <c r="I23" s="51">
        <f>IF(AND(AND(ISNUMBER(G23),G23&lt;0,ISNUMBER(G22),G22&gt;=0),(A23=Tomato_Beds)),"&lt;- Cross-over &amp; Solver-selected",IF(AND(ISNUMBER(G23),G23&lt;0,ISNUMBER(G22),G22&gt;=0),"&lt;- Cross-over (next bed unprofitable)",IF((A23=Tomato_Beds),"&lt;- Solver-selected","")))</f>
        <v/>
      </c>
    </row>
    <row r="24" ht="15" customHeight="1" s="35">
      <c r="A24" s="56">
        <f>ROW()-5</f>
        <v/>
      </c>
      <c r="B24" s="52">
        <f>IF(A24&lt;=Tomato_Bed_Cap,A24*Tomato_Hours*Season*(1+Tomato_Dim_Return)^A24,"")</f>
        <v/>
      </c>
      <c r="C24" s="52">
        <f>IF(A24&lt;=Tomato_Bed_Cap,B24-IF(ISNUMBER(B23),B23,0),"")</f>
        <v/>
      </c>
      <c r="D24" s="57">
        <f>IF(A24&lt;=Tomato_Bed_Cap,Tomato_Price,"")</f>
        <v/>
      </c>
      <c r="E24" s="57">
        <f>IF(A24&lt;=Tomato_Bed_Cap,Tomato_Fertizer,"")</f>
        <v/>
      </c>
      <c r="F24" s="57">
        <f>IF(A24&lt;=Tomato_Bed_Cap,MAX(0,MIN((Carrot_Beds*Carrrot_Hours*Season*(1+Carrot_Dim_Return)^Carrot_Beds+Mesclun_Beds*Mesclun_Hours*Season*(1+Mesclun_Dim_Return)^Mesclun_Beds)+B24,Farmer_Hours)-MIN((Carrot_Beds*Carrrot_Hours*Season*(1+Carrot_Dim_Return)^Carrot_Beds+Mesclun_Beds*Mesclun_Hours*Season*(1+Mesclun_Dim_Return)^Mesclun_Beds)+IF(ISNUMBER(B23),B23,0),Farmer_Hours))*Farmer_Cost+(C24-MAX(0,MIN((Carrot_Beds*Carrrot_Hours*Season*(1+Carrot_Dim_Return)^Carrot_Beds+Mesclun_Beds*Mesclun_Hours*Season*(1+Mesclun_Dim_Return)^Mesclun_Beds)+B24,Farmer_Hours)-MIN((Carrot_Beds*Carrrot_Hours*Season*(1+Carrot_Dim_Return)^Carrot_Beds+Mesclun_Beds*Mesclun_Hours*Season*(1+Mesclun_Dim_Return)^Mesclun_Beds)+IF(ISNUMBER(B23),B23,0),Farmer_Hours)))*Temp_Worker_Cost,"")</f>
        <v/>
      </c>
      <c r="G24" s="57">
        <f>IF(A24&lt;=Tomato_Bed_Cap,D24-E24-F24,"")</f>
        <v/>
      </c>
      <c r="H24" s="57">
        <f>IF(A24&lt;=Tomato_Bed_Cap,IF(ISNUMBER(H23),H23,0)+G24,"")</f>
        <v/>
      </c>
      <c r="I24" s="51">
        <f>IF(AND(AND(ISNUMBER(G24),G24&lt;0,ISNUMBER(G23),G23&gt;=0),(A24=Tomato_Beds)),"&lt;- Cross-over &amp; Solver-selected",IF(AND(ISNUMBER(G24),G24&lt;0,ISNUMBER(G23),G23&gt;=0),"&lt;- Cross-over (next bed unprofitable)",IF((A24=Tomato_Beds),"&lt;- Solver-selected","")))</f>
        <v/>
      </c>
    </row>
    <row r="25" ht="15" customHeight="1" s="35">
      <c r="A25" s="56">
        <f>ROW()-5</f>
        <v/>
      </c>
      <c r="B25" s="52">
        <f>IF(A25&lt;=Tomato_Bed_Cap,A25*Tomato_Hours*Season*(1+Tomato_Dim_Return)^A25,"")</f>
        <v/>
      </c>
      <c r="C25" s="52">
        <f>IF(A25&lt;=Tomato_Bed_Cap,B25-IF(ISNUMBER(B24),B24,0),"")</f>
        <v/>
      </c>
      <c r="D25" s="57">
        <f>IF(A25&lt;=Tomato_Bed_Cap,Tomato_Price,"")</f>
        <v/>
      </c>
      <c r="E25" s="57">
        <f>IF(A25&lt;=Tomato_Bed_Cap,Tomato_Fertizer,"")</f>
        <v/>
      </c>
      <c r="F25" s="57">
        <f>IF(A25&lt;=Tomato_Bed_Cap,MAX(0,MIN((Carrot_Beds*Carrrot_Hours*Season*(1+Carrot_Dim_Return)^Carrot_Beds+Mesclun_Beds*Mesclun_Hours*Season*(1+Mesclun_Dim_Return)^Mesclun_Beds)+B25,Farmer_Hours)-MIN((Carrot_Beds*Carrrot_Hours*Season*(1+Carrot_Dim_Return)^Carrot_Beds+Mesclun_Beds*Mesclun_Hours*Season*(1+Mesclun_Dim_Return)^Mesclun_Beds)+IF(ISNUMBER(B24),B24,0),Farmer_Hours))*Farmer_Cost+(C25-MAX(0,MIN((Carrot_Beds*Carrrot_Hours*Season*(1+Carrot_Dim_Return)^Carrot_Beds+Mesclun_Beds*Mesclun_Hours*Season*(1+Mesclun_Dim_Return)^Mesclun_Beds)+B25,Farmer_Hours)-MIN((Carrot_Beds*Carrrot_Hours*Season*(1+Carrot_Dim_Return)^Carrot_Beds+Mesclun_Beds*Mesclun_Hours*Season*(1+Mesclun_Dim_Return)^Mesclun_Beds)+IF(ISNUMBER(B24),B24,0),Farmer_Hours)))*Temp_Worker_Cost,"")</f>
        <v/>
      </c>
      <c r="G25" s="57">
        <f>IF(A25&lt;=Tomato_Bed_Cap,D25-E25-F25,"")</f>
        <v/>
      </c>
      <c r="H25" s="57">
        <f>IF(A25&lt;=Tomato_Bed_Cap,IF(ISNUMBER(H24),H24,0)+G25,"")</f>
        <v/>
      </c>
      <c r="I25" s="51">
        <f>IF(AND(AND(ISNUMBER(G25),G25&lt;0,ISNUMBER(G24),G24&gt;=0),(A25=Tomato_Beds)),"&lt;- Cross-over &amp; Solver-selected",IF(AND(ISNUMBER(G25),G25&lt;0,ISNUMBER(G24),G24&gt;=0),"&lt;- Cross-over (next bed unprofitable)",IF((A25=Tomato_Beds),"&lt;- Solver-selected","")))</f>
        <v/>
      </c>
    </row>
    <row r="26" ht="15" customHeight="1" s="35">
      <c r="A26" s="56">
        <f>ROW()-5</f>
        <v/>
      </c>
      <c r="B26" s="52">
        <f>IF(A26&lt;=Tomato_Bed_Cap,A26*Tomato_Hours*Season*(1+Tomato_Dim_Return)^A26,"")</f>
        <v/>
      </c>
      <c r="C26" s="52">
        <f>IF(A26&lt;=Tomato_Bed_Cap,B26-IF(ISNUMBER(B25),B25,0),"")</f>
        <v/>
      </c>
      <c r="D26" s="57">
        <f>IF(A26&lt;=Tomato_Bed_Cap,Tomato_Price,"")</f>
        <v/>
      </c>
      <c r="E26" s="57">
        <f>IF(A26&lt;=Tomato_Bed_Cap,Tomato_Fertizer,"")</f>
        <v/>
      </c>
      <c r="F26" s="57">
        <f>IF(A26&lt;=Tomato_Bed_Cap,C26*Blended_Labor_Rate,"")</f>
        <v/>
      </c>
      <c r="G26" s="57">
        <f>IF(A26&lt;=Tomato_Bed_Cap,D26-E26-F26,"")</f>
        <v/>
      </c>
      <c r="H26" s="57">
        <f>IF(A26&lt;=Tomato_Bed_Cap,IF(ISNUMBER(H25),H25,0)+G26,"")</f>
        <v/>
      </c>
      <c r="I26" s="51">
        <f>IF(AND(AND(ISNUMBER(G26),G26&lt;0,ISNUMBER(G25),G25&gt;=0),(A26=Tomato_Beds)),"&lt;- Cross-over &amp; Solver-selected",IF(AND(ISNUMBER(G26),G26&lt;0,ISNUMBER(G25),G25&gt;=0),"&lt;- Cross-over (next bed unprofitable)",IF((A26=Tomato_Beds),"&lt;- Solver-selected","")))</f>
        <v/>
      </c>
    </row>
    <row r="27" ht="15" customHeight="1" s="35">
      <c r="A27" s="56">
        <f>ROW()-5</f>
        <v/>
      </c>
      <c r="B27" s="52">
        <f>IF(A27&lt;=Tomato_Bed_Cap,A27*Tomato_Hours*Season*(1+Tomato_Dim_Return)^A27,"")</f>
        <v/>
      </c>
      <c r="C27" s="52">
        <f>IF(A27&lt;=Tomato_Bed_Cap,B27-IF(ISNUMBER(B26),B26,0),"")</f>
        <v/>
      </c>
      <c r="D27" s="57">
        <f>IF(A27&lt;=Tomato_Bed_Cap,Tomato_Price,"")</f>
        <v/>
      </c>
      <c r="E27" s="57">
        <f>IF(A27&lt;=Tomato_Bed_Cap,Tomato_Fertizer,"")</f>
        <v/>
      </c>
      <c r="F27" s="57">
        <f>IF(A27&lt;=Tomato_Bed_Cap,C27*Blended_Labor_Rate,"")</f>
        <v/>
      </c>
      <c r="G27" s="57">
        <f>IF(A27&lt;=Tomato_Bed_Cap,D27-E27-F27,"")</f>
        <v/>
      </c>
      <c r="H27" s="57">
        <f>IF(A27&lt;=Tomato_Bed_Cap,IF(ISNUMBER(H26),H26,0)+G27,"")</f>
        <v/>
      </c>
      <c r="I27" s="51">
        <f>IF(AND(AND(ISNUMBER(G27),G27&lt;0,ISNUMBER(G26),G26&gt;=0),(A27=Tomato_Beds)),"&lt;- Cross-over &amp; Solver-selected",IF(AND(ISNUMBER(G27),G27&lt;0,ISNUMBER(G26),G26&gt;=0),"&lt;- Cross-over (next bed unprofitable)",IF((A27=Tomato_Beds),"&lt;- Solver-selected","")))</f>
        <v/>
      </c>
    </row>
    <row r="28" ht="15" customHeight="1" s="35">
      <c r="A28" s="56">
        <f>ROW()-5</f>
        <v/>
      </c>
      <c r="B28" s="52">
        <f>IF(A28&lt;=Tomato_Bed_Cap,A28*Tomato_Hours*Season*(1+Tomato_Dim_Return)^A28,"")</f>
        <v/>
      </c>
      <c r="C28" s="52">
        <f>IF(A28&lt;=Tomato_Bed_Cap,B28-IF(ISNUMBER(B27),B27,0),"")</f>
        <v/>
      </c>
      <c r="D28" s="57">
        <f>IF(A28&lt;=Tomato_Bed_Cap,Tomato_Price,"")</f>
        <v/>
      </c>
      <c r="E28" s="57">
        <f>IF(A28&lt;=Tomato_Bed_Cap,Tomato_Fertizer,"")</f>
        <v/>
      </c>
      <c r="F28" s="57">
        <f>IF(A28&lt;=Tomato_Bed_Cap,C28*Blended_Labor_Rate,"")</f>
        <v/>
      </c>
      <c r="G28" s="57">
        <f>IF(A28&lt;=Tomato_Bed_Cap,D28-E28-F28,"")</f>
        <v/>
      </c>
      <c r="H28" s="57">
        <f>IF(A28&lt;=Tomato_Bed_Cap,IF(ISNUMBER(H27),H27,0)+G28,"")</f>
        <v/>
      </c>
      <c r="I28" s="51">
        <f>IF(AND(AND(ISNUMBER(G28),G28&lt;0,ISNUMBER(G27),G27&gt;=0),(A28=Tomato_Beds)),"&lt;- Cross-over &amp; Solver-selected",IF(AND(ISNUMBER(G28),G28&lt;0,ISNUMBER(G27),G27&gt;=0),"&lt;- Cross-over (next bed unprofitable)",IF((A28=Tomato_Beds),"&lt;- Solver-selected","")))</f>
        <v/>
      </c>
    </row>
    <row r="29" ht="15" customHeight="1" s="35">
      <c r="A29" s="56">
        <f>ROW()-5</f>
        <v/>
      </c>
      <c r="B29" s="52">
        <f>IF(A29&lt;=Tomato_Bed_Cap,A29*Tomato_Hours*Season*(1+Tomato_Dim_Return)^A29,"")</f>
        <v/>
      </c>
      <c r="C29" s="52">
        <f>IF(A29&lt;=Tomato_Bed_Cap,B29-IF(ISNUMBER(B28),B28,0),"")</f>
        <v/>
      </c>
      <c r="D29" s="57">
        <f>IF(A29&lt;=Tomato_Bed_Cap,Tomato_Price,"")</f>
        <v/>
      </c>
      <c r="E29" s="57">
        <f>IF(A29&lt;=Tomato_Bed_Cap,Tomato_Fertizer,"")</f>
        <v/>
      </c>
      <c r="F29" s="57">
        <f>IF(A29&lt;=Tomato_Bed_Cap,C29*Blended_Labor_Rate,"")</f>
        <v/>
      </c>
      <c r="G29" s="57">
        <f>IF(A29&lt;=Tomato_Bed_Cap,D29-E29-F29,"")</f>
        <v/>
      </c>
      <c r="H29" s="57">
        <f>IF(A29&lt;=Tomato_Bed_Cap,IF(ISNUMBER(H28),H28,0)+G29,"")</f>
        <v/>
      </c>
      <c r="I29" s="51">
        <f>IF(AND(AND(ISNUMBER(G29),G29&lt;0,ISNUMBER(G28),G28&gt;=0),(A29=Tomato_Beds)),"&lt;- Cross-over &amp; Solver-selected",IF(AND(ISNUMBER(G29),G29&lt;0,ISNUMBER(G28),G28&gt;=0),"&lt;- Cross-over (next bed unprofitable)",IF((A29=Tomato_Beds),"&lt;- Solver-selected","")))</f>
        <v/>
      </c>
    </row>
    <row r="30" ht="15" customHeight="1" s="35">
      <c r="A30" s="56">
        <f>ROW()-5</f>
        <v/>
      </c>
      <c r="B30" s="52">
        <f>IF(A30&lt;=Tomato_Bed_Cap,A30*Tomato_Hours*Season*(1+Tomato_Dim_Return)^A30,"")</f>
        <v/>
      </c>
      <c r="C30" s="52">
        <f>IF(A30&lt;=Tomato_Bed_Cap,B30-IF(ISNUMBER(B29),B29,0),"")</f>
        <v/>
      </c>
      <c r="D30" s="57">
        <f>IF(A30&lt;=Tomato_Bed_Cap,Tomato_Price,"")</f>
        <v/>
      </c>
      <c r="E30" s="57">
        <f>IF(A30&lt;=Tomato_Bed_Cap,Tomato_Fertizer,"")</f>
        <v/>
      </c>
      <c r="F30" s="57">
        <f>IF(A30&lt;=Tomato_Bed_Cap,C30*Blended_Labor_Rate,"")</f>
        <v/>
      </c>
      <c r="G30" s="57">
        <f>IF(A30&lt;=Tomato_Bed_Cap,D30-E30-F30,"")</f>
        <v/>
      </c>
      <c r="H30" s="57">
        <f>IF(A30&lt;=Tomato_Bed_Cap,IF(ISNUMBER(H29),H29,0)+G30,"")</f>
        <v/>
      </c>
      <c r="I30" s="51">
        <f>IF(AND(AND(ISNUMBER(G30),G30&lt;0,ISNUMBER(G29),G29&gt;=0),(A30=Tomato_Beds)),"&lt;- Cross-over &amp; Solver-selected",IF(AND(ISNUMBER(G30),G30&lt;0,ISNUMBER(G29),G29&gt;=0),"&lt;- Cross-over (next bed unprofitable)",IF((A30=Tomato_Beds),"&lt;- Solver-selected","")))</f>
        <v/>
      </c>
    </row>
    <row r="31" ht="15" customHeight="1" s="35">
      <c r="A31" s="56">
        <f>ROW()-5</f>
        <v/>
      </c>
      <c r="B31" s="52">
        <f>IF(A31&lt;=Tomato_Bed_Cap,A31*Tomato_Hours*Season*(1+Tomato_Dim_Return)^A31,"")</f>
        <v/>
      </c>
      <c r="C31" s="52">
        <f>IF(A31&lt;=Tomato_Bed_Cap,B31-IF(ISNUMBER(B30),B30,0),"")</f>
        <v/>
      </c>
      <c r="D31" s="57">
        <f>IF(A31&lt;=Tomato_Bed_Cap,Tomato_Price,"")</f>
        <v/>
      </c>
      <c r="E31" s="57">
        <f>IF(A31&lt;=Tomato_Bed_Cap,Tomato_Fertizer,"")</f>
        <v/>
      </c>
      <c r="F31" s="57">
        <f>IF(A31&lt;=Tomato_Bed_Cap,C31*Blended_Labor_Rate,"")</f>
        <v/>
      </c>
      <c r="G31" s="57">
        <f>IF(A31&lt;=Tomato_Bed_Cap,D31-E31-F31,"")</f>
        <v/>
      </c>
      <c r="H31" s="57">
        <f>IF(A31&lt;=Tomato_Bed_Cap,IF(ISNUMBER(H30),H30,0)+G31,"")</f>
        <v/>
      </c>
      <c r="I31" s="51">
        <f>IF(AND(AND(ISNUMBER(G31),G31&lt;0,ISNUMBER(G30),G30&gt;=0),(A31=Tomato_Beds)),"&lt;- Cross-over &amp; Solver-selected",IF(AND(ISNUMBER(G31),G31&lt;0,ISNUMBER(G30),G30&gt;=0),"&lt;- Cross-over (next bed unprofitable)",IF((A31=Tomato_Beds),"&lt;- Solver-selected","")))</f>
        <v/>
      </c>
    </row>
    <row r="32" ht="15" customHeight="1" s="35">
      <c r="A32" s="56">
        <f>ROW()-5</f>
        <v/>
      </c>
      <c r="B32" s="52">
        <f>IF(A32&lt;=Tomato_Bed_Cap,A32*Tomato_Hours*Season*(1+Tomato_Dim_Return)^A32,"")</f>
        <v/>
      </c>
      <c r="C32" s="52">
        <f>IF(A32&lt;=Tomato_Bed_Cap,B32-IF(ISNUMBER(B31),B31,0),"")</f>
        <v/>
      </c>
      <c r="D32" s="57">
        <f>IF(A32&lt;=Tomato_Bed_Cap,Tomato_Price,"")</f>
        <v/>
      </c>
      <c r="E32" s="57">
        <f>IF(A32&lt;=Tomato_Bed_Cap,Tomato_Fertizer,"")</f>
        <v/>
      </c>
      <c r="F32" s="57">
        <f>IF(A32&lt;=Tomato_Bed_Cap,C32*Blended_Labor_Rate,"")</f>
        <v/>
      </c>
      <c r="G32" s="57">
        <f>IF(A32&lt;=Tomato_Bed_Cap,D32-E32-F32,"")</f>
        <v/>
      </c>
      <c r="H32" s="57">
        <f>IF(A32&lt;=Tomato_Bed_Cap,IF(ISNUMBER(H31),H31,0)+G32,"")</f>
        <v/>
      </c>
      <c r="I32" s="51">
        <f>IF(AND(AND(ISNUMBER(G32),G32&lt;0,ISNUMBER(G31),G31&gt;=0),(A32=Tomato_Beds)),"&lt;- Cross-over &amp; Solver-selected",IF(AND(ISNUMBER(G32),G32&lt;0,ISNUMBER(G31),G31&gt;=0),"&lt;- Cross-over (next bed unprofitable)",IF((A32=Tomato_Beds),"&lt;- Solver-selected","")))</f>
        <v/>
      </c>
    </row>
    <row r="33" ht="15" customHeight="1" s="35">
      <c r="A33" s="56">
        <f>ROW()-5</f>
        <v/>
      </c>
      <c r="B33" s="52">
        <f>IF(A33&lt;=Tomato_Bed_Cap,A33*Tomato_Hours*Season*(1+Tomato_Dim_Return)^A33,"")</f>
        <v/>
      </c>
      <c r="C33" s="52">
        <f>IF(A33&lt;=Tomato_Bed_Cap,B33-IF(ISNUMBER(B32),B32,0),"")</f>
        <v/>
      </c>
      <c r="D33" s="57">
        <f>IF(A33&lt;=Tomato_Bed_Cap,Tomato_Price,"")</f>
        <v/>
      </c>
      <c r="E33" s="57">
        <f>IF(A33&lt;=Tomato_Bed_Cap,Tomato_Fertizer,"")</f>
        <v/>
      </c>
      <c r="F33" s="57">
        <f>IF(A33&lt;=Tomato_Bed_Cap,C33*Blended_Labor_Rate,"")</f>
        <v/>
      </c>
      <c r="G33" s="57">
        <f>IF(A33&lt;=Tomato_Bed_Cap,D33-E33-F33,"")</f>
        <v/>
      </c>
      <c r="H33" s="57">
        <f>IF(A33&lt;=Tomato_Bed_Cap,IF(ISNUMBER(H32),H32,0)+G33,"")</f>
        <v/>
      </c>
      <c r="I33" s="51">
        <f>IF(AND(AND(ISNUMBER(G33),G33&lt;0,ISNUMBER(G32),G32&gt;=0),(A33=Tomato_Beds)),"&lt;- Cross-over &amp; Solver-selected",IF(AND(ISNUMBER(G33),G33&lt;0,ISNUMBER(G32),G32&gt;=0),"&lt;- Cross-over (next bed unprofitable)",IF((A33=Tomato_Beds),"&lt;- Solver-selected","")))</f>
        <v/>
      </c>
    </row>
    <row r="34" ht="15" customHeight="1" s="35">
      <c r="A34" s="56">
        <f>ROW()-5</f>
        <v/>
      </c>
      <c r="B34" s="52">
        <f>IF(A34&lt;=Tomato_Bed_Cap,A34*Tomato_Hours*Season*(1+Tomato_Dim_Return)^A34,"")</f>
        <v/>
      </c>
      <c r="C34" s="52">
        <f>IF(A34&lt;=Tomato_Bed_Cap,B34-IF(ISNUMBER(B33),B33,0),"")</f>
        <v/>
      </c>
      <c r="D34" s="57">
        <f>IF(A34&lt;=Tomato_Bed_Cap,Tomato_Price,"")</f>
        <v/>
      </c>
      <c r="E34" s="57">
        <f>IF(A34&lt;=Tomato_Bed_Cap,Tomato_Fertizer,"")</f>
        <v/>
      </c>
      <c r="F34" s="57">
        <f>IF(A34&lt;=Tomato_Bed_Cap,C34*Blended_Labor_Rate,"")</f>
        <v/>
      </c>
      <c r="G34" s="57">
        <f>IF(A34&lt;=Tomato_Bed_Cap,D34-E34-F34,"")</f>
        <v/>
      </c>
      <c r="H34" s="57">
        <f>IF(A34&lt;=Tomato_Bed_Cap,IF(ISNUMBER(H33),H33,0)+G34,"")</f>
        <v/>
      </c>
      <c r="I34" s="51">
        <f>IF(AND(AND(ISNUMBER(G34),G34&lt;0,ISNUMBER(G33),G33&gt;=0),(A34=Tomato_Beds)),"&lt;- Cross-over &amp; Solver-selected",IF(AND(ISNUMBER(G34),G34&lt;0,ISNUMBER(G33),G33&gt;=0),"&lt;- Cross-over (next bed unprofitable)",IF((A34=Tomato_Beds),"&lt;- Solver-selected","")))</f>
        <v/>
      </c>
    </row>
    <row r="35" ht="15" customHeight="1" s="35">
      <c r="A35" s="56">
        <f>ROW()-5</f>
        <v/>
      </c>
      <c r="B35" s="52">
        <f>IF(A35&lt;=Tomato_Bed_Cap,A35*Tomato_Hours*Season*(1+Tomato_Dim_Return)^A35,"")</f>
        <v/>
      </c>
      <c r="C35" s="52">
        <f>IF(A35&lt;=Tomato_Bed_Cap,B35-IF(ISNUMBER(B34),B34,0),"")</f>
        <v/>
      </c>
      <c r="D35" s="57">
        <f>IF(A35&lt;=Tomato_Bed_Cap,Tomato_Price,"")</f>
        <v/>
      </c>
      <c r="E35" s="57">
        <f>IF(A35&lt;=Tomato_Bed_Cap,Tomato_Fertizer,"")</f>
        <v/>
      </c>
      <c r="F35" s="57">
        <f>IF(A35&lt;=Tomato_Bed_Cap,C35*Blended_Labor_Rate,"")</f>
        <v/>
      </c>
      <c r="G35" s="57">
        <f>IF(A35&lt;=Tomato_Bed_Cap,D35-E35-F35,"")</f>
        <v/>
      </c>
      <c r="H35" s="57">
        <f>IF(A35&lt;=Tomato_Bed_Cap,IF(ISNUMBER(H34),H34,0)+G35,"")</f>
        <v/>
      </c>
      <c r="I35" s="51">
        <f>IF(AND(AND(ISNUMBER(G35),G35&lt;0,ISNUMBER(G34),G34&gt;=0),(A35=Tomato_Beds)),"&lt;- Cross-over &amp; Solver-selected",IF(AND(ISNUMBER(G35),G35&lt;0,ISNUMBER(G34),G34&gt;=0),"&lt;- Cross-over (next bed unprofitable)",IF((A35=Tomato_Beds),"&lt;- Solver-selected","")))</f>
        <v/>
      </c>
    </row>
    <row r="38" ht="15" customHeight="1" s="35">
      <c r="A38" s="38" t="inlineStr">
        <is>
          <t>Carrots</t>
        </is>
      </c>
    </row>
    <row r="39" ht="51.75" customHeight="1" s="35">
      <c r="A39" s="39" t="inlineStr">
        <is>
          <t>Beds Planted (q)</t>
        </is>
      </c>
      <c r="B39" s="39" t="inlineStr">
        <is>
          <t>Cumulative Labor Hours (hrs)</t>
        </is>
      </c>
      <c r="C39" s="39" t="inlineStr">
        <is>
          <t>Marginal Labor Hours (hrs)</t>
        </is>
      </c>
      <c r="D39" s="39" t="inlineStr">
        <is>
          <t>Marginal Revenue ($)</t>
        </is>
      </c>
      <c r="E39" s="39" t="inlineStr">
        <is>
          <t>Marginal Fertilizer Cost ($)</t>
        </is>
      </c>
      <c r="F39" s="39" t="inlineStr">
        <is>
          <t>Marginal Labor Cost ($, marginal rate)</t>
        </is>
      </c>
      <c r="G39" s="39" t="inlineStr">
        <is>
          <t>Marginal Profit ($)</t>
        </is>
      </c>
      <c r="H39" s="39" t="inlineStr">
        <is>
          <t>Cumulative Profit ($)</t>
        </is>
      </c>
      <c r="I39" s="39" t="inlineStr">
        <is>
          <t>Notes</t>
        </is>
      </c>
    </row>
    <row r="40" ht="15" customHeight="1" s="35">
      <c r="A40" s="56">
        <f>ROW()-39</f>
        <v/>
      </c>
      <c r="B40" s="52">
        <f>IF(A40&lt;=Carrot_Bed_Cap,A40*Carrrot_Hours*Season*(1+Carrot_Dim_Return)^A40,"")</f>
        <v/>
      </c>
      <c r="C40" s="52">
        <f>IF(A40&lt;=Carrot_Bed_Cap,B40,"")</f>
        <v/>
      </c>
      <c r="D40" s="57">
        <f>IF(A40&lt;=Carrot_Bed_Cap,Carrot_Price,"")</f>
        <v/>
      </c>
      <c r="E40" s="57">
        <f>IF(A40&lt;=Carrot_Bed_Cap,Carrot_Fertilizer,"")</f>
        <v/>
      </c>
      <c r="F40" s="57">
        <f>IF(A40&lt;=Carrot_Bed_Cap,MAX(0,MIN((Tomato_Beds*Tomato_Hours*Season*(1+Tomato_Dim_Return)^Tomato_Beds+Mesclun_Beds*Mesclun_Hours*Season*(1+Mesclun_Dim_Return)^Mesclun_Beds)+B40,Farmer_Hours)-MIN((Tomato_Beds*Tomato_Hours*Season*(1+Tomato_Dim_Return)^Tomato_Beds+Mesclun_Beds*Mesclun_Hours*Season*(1+Mesclun_Dim_Return)^Mesclun_Beds)+IF(ISNUMBER(B39),B39,0),Farmer_Hours))*Farmer_Cost+(C40-MAX(0,MIN((Tomato_Beds*Tomato_Hours*Season*(1+Tomato_Dim_Return)^Tomato_Beds+Mesclun_Beds*Mesclun_Hours*Season*(1+Mesclun_Dim_Return)^Mesclun_Beds)+B40,Farmer_Hours)-MIN((Tomato_Beds*Tomato_Hours*Season*(1+Tomato_Dim_Return)^Tomato_Beds+Mesclun_Beds*Mesclun_Hours*Season*(1+Mesclun_Dim_Return)^Mesclun_Beds)+IF(ISNUMBER(B39),B39,0),Farmer_Hours)))*Temp_Worker_Cost,"")</f>
        <v/>
      </c>
      <c r="G40" s="57">
        <f>IF(A40&lt;=Carrot_Bed_Cap,D40-E40-F40,"")</f>
        <v/>
      </c>
      <c r="H40" s="57">
        <f>IF(A40&lt;=Carrot_Bed_Cap,G40,"")</f>
        <v/>
      </c>
      <c r="I40" s="51">
        <f>IF((A40=Carrot_Beds),"&lt;- Solver-selected","")</f>
        <v/>
      </c>
    </row>
    <row r="41" ht="15" customHeight="1" s="35">
      <c r="A41" s="56">
        <f>ROW()-39</f>
        <v/>
      </c>
      <c r="B41" s="52">
        <f>IF(A41&lt;=Carrot_Bed_Cap,A41*Carrrot_Hours*Season*(1+Carrot_Dim_Return)^A41,"")</f>
        <v/>
      </c>
      <c r="C41" s="52">
        <f>IF(A41&lt;=Carrot_Bed_Cap,B41-IF(ISNUMBER(B40),B40,0),"")</f>
        <v/>
      </c>
      <c r="D41" s="57">
        <f>IF(A41&lt;=Carrot_Bed_Cap,Carrot_Price,"")</f>
        <v/>
      </c>
      <c r="E41" s="57">
        <f>IF(A41&lt;=Carrot_Bed_Cap,Carrot_Fertilizer,"")</f>
        <v/>
      </c>
      <c r="F41" s="57">
        <f>IF(A41&lt;=Carrot_Bed_Cap,MAX(0,MIN((Tomato_Beds*Tomato_Hours*Season*(1+Tomato_Dim_Return)^Tomato_Beds+Mesclun_Beds*Mesclun_Hours*Season*(1+Mesclun_Dim_Return)^Mesclun_Beds)+B41,Farmer_Hours)-MIN((Tomato_Beds*Tomato_Hours*Season*(1+Tomato_Dim_Return)^Tomato_Beds+Mesclun_Beds*Mesclun_Hours*Season*(1+Mesclun_Dim_Return)^Mesclun_Beds)+IF(ISNUMBER(B40),B40,0),Farmer_Hours))*Farmer_Cost+(C41-MAX(0,MIN((Tomato_Beds*Tomato_Hours*Season*(1+Tomato_Dim_Return)^Tomato_Beds+Mesclun_Beds*Mesclun_Hours*Season*(1+Mesclun_Dim_Return)^Mesclun_Beds)+B41,Farmer_Hours)-MIN((Tomato_Beds*Tomato_Hours*Season*(1+Tomato_Dim_Return)^Tomato_Beds+Mesclun_Beds*Mesclun_Hours*Season*(1+Mesclun_Dim_Return)^Mesclun_Beds)+IF(ISNUMBER(B40),B40,0),Farmer_Hours)))*Temp_Worker_Cost,"")</f>
        <v/>
      </c>
      <c r="G41" s="57">
        <f>IF(A41&lt;=Carrot_Bed_Cap,D41-E41-F41,"")</f>
        <v/>
      </c>
      <c r="H41" s="57">
        <f>IF(A41&lt;=Carrot_Bed_Cap,IF(ISNUMBER(H40),H40,0)+G41,"")</f>
        <v/>
      </c>
      <c r="I41" s="51">
        <f>IF(AND(AND(ISNUMBER(G41),G41&lt;0,ISNUMBER(G40),G40&gt;=0),(A41=Carrot_Beds)),"&lt;- Cross-over &amp; Solver-selected",IF(AND(ISNUMBER(G41),G41&lt;0,ISNUMBER(G40),G40&gt;=0),"&lt;- Cross-over (next bed unprofitable)",IF((A41=Carrot_Beds),"&lt;- Solver-selected","")))</f>
        <v/>
      </c>
    </row>
    <row r="42" ht="15" customHeight="1" s="35">
      <c r="A42" s="56">
        <f>ROW()-39</f>
        <v/>
      </c>
      <c r="B42" s="52">
        <f>IF(A42&lt;=Carrot_Bed_Cap,A42*Carrrot_Hours*Season*(1+Carrot_Dim_Return)^A42,"")</f>
        <v/>
      </c>
      <c r="C42" s="52">
        <f>IF(A42&lt;=Carrot_Bed_Cap,B42-IF(ISNUMBER(B41),B41,0),"")</f>
        <v/>
      </c>
      <c r="D42" s="57">
        <f>IF(A42&lt;=Carrot_Bed_Cap,Carrot_Price,"")</f>
        <v/>
      </c>
      <c r="E42" s="57">
        <f>IF(A42&lt;=Carrot_Bed_Cap,Carrot_Fertilizer,"")</f>
        <v/>
      </c>
      <c r="F42" s="57">
        <f>IF(A42&lt;=Carrot_Bed_Cap,MAX(0,MIN((Tomato_Beds*Tomato_Hours*Season*(1+Tomato_Dim_Return)^Tomato_Beds+Mesclun_Beds*Mesclun_Hours*Season*(1+Mesclun_Dim_Return)^Mesclun_Beds)+B42,Farmer_Hours)-MIN((Tomato_Beds*Tomato_Hours*Season*(1+Tomato_Dim_Return)^Tomato_Beds+Mesclun_Beds*Mesclun_Hours*Season*(1+Mesclun_Dim_Return)^Mesclun_Beds)+IF(ISNUMBER(B41),B41,0),Farmer_Hours))*Farmer_Cost+(C42-MAX(0,MIN((Tomato_Beds*Tomato_Hours*Season*(1+Tomato_Dim_Return)^Tomato_Beds+Mesclun_Beds*Mesclun_Hours*Season*(1+Mesclun_Dim_Return)^Mesclun_Beds)+B42,Farmer_Hours)-MIN((Tomato_Beds*Tomato_Hours*Season*(1+Tomato_Dim_Return)^Tomato_Beds+Mesclun_Beds*Mesclun_Hours*Season*(1+Mesclun_Dim_Return)^Mesclun_Beds)+IF(ISNUMBER(B41),B41,0),Farmer_Hours)))*Temp_Worker_Cost,"")</f>
        <v/>
      </c>
      <c r="G42" s="57">
        <f>IF(A42&lt;=Carrot_Bed_Cap,D42-E42-F42,"")</f>
        <v/>
      </c>
      <c r="H42" s="57">
        <f>IF(A42&lt;=Carrot_Bed_Cap,IF(ISNUMBER(H41),H41,0)+G42,"")</f>
        <v/>
      </c>
      <c r="I42" s="51">
        <f>IF(AND(AND(ISNUMBER(G42),G42&lt;0,ISNUMBER(G41),G41&gt;=0),(A42=Carrot_Beds)),"&lt;- Cross-over &amp; Solver-selected",IF(AND(ISNUMBER(G42),G42&lt;0,ISNUMBER(G41),G41&gt;=0),"&lt;- Cross-over (next bed unprofitable)",IF((A42=Carrot_Beds),"&lt;- Solver-selected","")))</f>
        <v/>
      </c>
    </row>
    <row r="43" ht="15" customHeight="1" s="35">
      <c r="A43" s="56">
        <f>ROW()-39</f>
        <v/>
      </c>
      <c r="B43" s="52">
        <f>IF(A43&lt;=Carrot_Bed_Cap,A43*Carrrot_Hours*Season*(1+Carrot_Dim_Return)^A43,"")</f>
        <v/>
      </c>
      <c r="C43" s="52">
        <f>IF(A43&lt;=Carrot_Bed_Cap,B43-IF(ISNUMBER(B42),B42,0),"")</f>
        <v/>
      </c>
      <c r="D43" s="57">
        <f>IF(A43&lt;=Carrot_Bed_Cap,Carrot_Price,"")</f>
        <v/>
      </c>
      <c r="E43" s="57">
        <f>IF(A43&lt;=Carrot_Bed_Cap,Carrot_Fertilizer,"")</f>
        <v/>
      </c>
      <c r="F43" s="57">
        <f>IF(A43&lt;=Carrot_Bed_Cap,MAX(0,MIN((Tomato_Beds*Tomato_Hours*Season*(1+Tomato_Dim_Return)^Tomato_Beds+Mesclun_Beds*Mesclun_Hours*Season*(1+Mesclun_Dim_Return)^Mesclun_Beds)+B43,Farmer_Hours)-MIN((Tomato_Beds*Tomato_Hours*Season*(1+Tomato_Dim_Return)^Tomato_Beds+Mesclun_Beds*Mesclun_Hours*Season*(1+Mesclun_Dim_Return)^Mesclun_Beds)+IF(ISNUMBER(B42),B42,0),Farmer_Hours))*Farmer_Cost+(C43-MAX(0,MIN((Tomato_Beds*Tomato_Hours*Season*(1+Tomato_Dim_Return)^Tomato_Beds+Mesclun_Beds*Mesclun_Hours*Season*(1+Mesclun_Dim_Return)^Mesclun_Beds)+B43,Farmer_Hours)-MIN((Tomato_Beds*Tomato_Hours*Season*(1+Tomato_Dim_Return)^Tomato_Beds+Mesclun_Beds*Mesclun_Hours*Season*(1+Mesclun_Dim_Return)^Mesclun_Beds)+IF(ISNUMBER(B42),B42,0),Farmer_Hours)))*Temp_Worker_Cost,"")</f>
        <v/>
      </c>
      <c r="G43" s="57">
        <f>IF(A43&lt;=Carrot_Bed_Cap,D43-E43-F43,"")</f>
        <v/>
      </c>
      <c r="H43" s="57">
        <f>IF(A43&lt;=Carrot_Bed_Cap,IF(ISNUMBER(H42),H42,0)+G43,"")</f>
        <v/>
      </c>
      <c r="I43" s="51">
        <f>IF(AND(AND(ISNUMBER(G43),G43&lt;0,ISNUMBER(G42),G42&gt;=0),(A43=Carrot_Beds)),"&lt;- Cross-over &amp; Solver-selected",IF(AND(ISNUMBER(G43),G43&lt;0,ISNUMBER(G42),G42&gt;=0),"&lt;- Cross-over (next bed unprofitable)",IF((A43=Carrot_Beds),"&lt;- Solver-selected","")))</f>
        <v/>
      </c>
    </row>
    <row r="44" ht="15" customHeight="1" s="35">
      <c r="A44" s="56">
        <f>ROW()-39</f>
        <v/>
      </c>
      <c r="B44" s="52">
        <f>IF(A44&lt;=Carrot_Bed_Cap,A44*Carrrot_Hours*Season*(1+Carrot_Dim_Return)^A44,"")</f>
        <v/>
      </c>
      <c r="C44" s="52">
        <f>IF(A44&lt;=Carrot_Bed_Cap,B44-IF(ISNUMBER(B43),B43,0),"")</f>
        <v/>
      </c>
      <c r="D44" s="57">
        <f>IF(A44&lt;=Carrot_Bed_Cap,Carrot_Price,"")</f>
        <v/>
      </c>
      <c r="E44" s="57">
        <f>IF(A44&lt;=Carrot_Bed_Cap,Carrot_Fertilizer,"")</f>
        <v/>
      </c>
      <c r="F44" s="57">
        <f>IF(A44&lt;=Carrot_Bed_Cap,MAX(0,MIN((Tomato_Beds*Tomato_Hours*Season*(1+Tomato_Dim_Return)^Tomato_Beds+Mesclun_Beds*Mesclun_Hours*Season*(1+Mesclun_Dim_Return)^Mesclun_Beds)+B44,Farmer_Hours)-MIN((Tomato_Beds*Tomato_Hours*Season*(1+Tomato_Dim_Return)^Tomato_Beds+Mesclun_Beds*Mesclun_Hours*Season*(1+Mesclun_Dim_Return)^Mesclun_Beds)+IF(ISNUMBER(B43),B43,0),Farmer_Hours))*Farmer_Cost+(C44-MAX(0,MIN((Tomato_Beds*Tomato_Hours*Season*(1+Tomato_Dim_Return)^Tomato_Beds+Mesclun_Beds*Mesclun_Hours*Season*(1+Mesclun_Dim_Return)^Mesclun_Beds)+B44,Farmer_Hours)-MIN((Tomato_Beds*Tomato_Hours*Season*(1+Tomato_Dim_Return)^Tomato_Beds+Mesclun_Beds*Mesclun_Hours*Season*(1+Mesclun_Dim_Return)^Mesclun_Beds)+IF(ISNUMBER(B43),B43,0),Farmer_Hours)))*Temp_Worker_Cost,"")</f>
        <v/>
      </c>
      <c r="G44" s="57">
        <f>IF(A44&lt;=Carrot_Bed_Cap,D44-E44-F44,"")</f>
        <v/>
      </c>
      <c r="H44" s="57">
        <f>IF(A44&lt;=Carrot_Bed_Cap,IF(ISNUMBER(H43),H43,0)+G44,"")</f>
        <v/>
      </c>
      <c r="I44" s="51">
        <f>IF(AND(AND(ISNUMBER(G44),G44&lt;0,ISNUMBER(G43),G43&gt;=0),(A44=Carrot_Beds)),"&lt;- Cross-over &amp; Solver-selected",IF(AND(ISNUMBER(G44),G44&lt;0,ISNUMBER(G43),G43&gt;=0),"&lt;- Cross-over (next bed unprofitable)",IF((A44=Carrot_Beds),"&lt;- Solver-selected","")))</f>
        <v/>
      </c>
    </row>
    <row r="45" ht="15" customHeight="1" s="35">
      <c r="A45" s="56">
        <f>ROW()-39</f>
        <v/>
      </c>
      <c r="B45" s="52">
        <f>IF(A45&lt;=Carrot_Bed_Cap,A45*Carrrot_Hours*Season*(1+Carrot_Dim_Return)^A45,"")</f>
        <v/>
      </c>
      <c r="C45" s="52">
        <f>IF(A45&lt;=Carrot_Bed_Cap,B45-IF(ISNUMBER(B44),B44,0),"")</f>
        <v/>
      </c>
      <c r="D45" s="57">
        <f>IF(A45&lt;=Carrot_Bed_Cap,Carrot_Price,"")</f>
        <v/>
      </c>
      <c r="E45" s="57">
        <f>IF(A45&lt;=Carrot_Bed_Cap,Carrot_Fertilizer,"")</f>
        <v/>
      </c>
      <c r="F45" s="57">
        <f>IF(A45&lt;=Carrot_Bed_Cap,MAX(0,MIN((Tomato_Beds*Tomato_Hours*Season*(1+Tomato_Dim_Return)^Tomato_Beds+Mesclun_Beds*Mesclun_Hours*Season*(1+Mesclun_Dim_Return)^Mesclun_Beds)+B45,Farmer_Hours)-MIN((Tomato_Beds*Tomato_Hours*Season*(1+Tomato_Dim_Return)^Tomato_Beds+Mesclun_Beds*Mesclun_Hours*Season*(1+Mesclun_Dim_Return)^Mesclun_Beds)+IF(ISNUMBER(B44),B44,0),Farmer_Hours))*Farmer_Cost+(C45-MAX(0,MIN((Tomato_Beds*Tomato_Hours*Season*(1+Tomato_Dim_Return)^Tomato_Beds+Mesclun_Beds*Mesclun_Hours*Season*(1+Mesclun_Dim_Return)^Mesclun_Beds)+B45,Farmer_Hours)-MIN((Tomato_Beds*Tomato_Hours*Season*(1+Tomato_Dim_Return)^Tomato_Beds+Mesclun_Beds*Mesclun_Hours*Season*(1+Mesclun_Dim_Return)^Mesclun_Beds)+IF(ISNUMBER(B44),B44,0),Farmer_Hours)))*Temp_Worker_Cost,"")</f>
        <v/>
      </c>
      <c r="G45" s="57">
        <f>IF(A45&lt;=Carrot_Bed_Cap,D45-E45-F45,"")</f>
        <v/>
      </c>
      <c r="H45" s="57">
        <f>IF(A45&lt;=Carrot_Bed_Cap,IF(ISNUMBER(H44),H44,0)+G45,"")</f>
        <v/>
      </c>
      <c r="I45" s="51">
        <f>IF(AND(AND(ISNUMBER(G45),G45&lt;0,ISNUMBER(G44),G44&gt;=0),(A45=Carrot_Beds)),"&lt;- Cross-over &amp; Solver-selected",IF(AND(ISNUMBER(G45),G45&lt;0,ISNUMBER(G44),G44&gt;=0),"&lt;- Cross-over (next bed unprofitable)",IF((A45=Carrot_Beds),"&lt;- Solver-selected","")))</f>
        <v/>
      </c>
    </row>
    <row r="46" ht="15" customHeight="1" s="35">
      <c r="A46" s="56">
        <f>ROW()-39</f>
        <v/>
      </c>
      <c r="B46" s="52">
        <f>IF(A46&lt;=Carrot_Bed_Cap,A46*Carrrot_Hours*Season*(1+Carrot_Dim_Return)^A46,"")</f>
        <v/>
      </c>
      <c r="C46" s="52">
        <f>IF(A46&lt;=Carrot_Bed_Cap,B46-IF(ISNUMBER(B45),B45,0),"")</f>
        <v/>
      </c>
      <c r="D46" s="57">
        <f>IF(A46&lt;=Carrot_Bed_Cap,Carrot_Price,"")</f>
        <v/>
      </c>
      <c r="E46" s="57">
        <f>IF(A46&lt;=Carrot_Bed_Cap,Carrot_Fertilizer,"")</f>
        <v/>
      </c>
      <c r="F46" s="57">
        <f>IF(A46&lt;=Carrot_Bed_Cap,MAX(0,MIN((Tomato_Beds*Tomato_Hours*Season*(1+Tomato_Dim_Return)^Tomato_Beds+Mesclun_Beds*Mesclun_Hours*Season*(1+Mesclun_Dim_Return)^Mesclun_Beds)+B46,Farmer_Hours)-MIN((Tomato_Beds*Tomato_Hours*Season*(1+Tomato_Dim_Return)^Tomato_Beds+Mesclun_Beds*Mesclun_Hours*Season*(1+Mesclun_Dim_Return)^Mesclun_Beds)+IF(ISNUMBER(B45),B45,0),Farmer_Hours))*Farmer_Cost+(C46-MAX(0,MIN((Tomato_Beds*Tomato_Hours*Season*(1+Tomato_Dim_Return)^Tomato_Beds+Mesclun_Beds*Mesclun_Hours*Season*(1+Mesclun_Dim_Return)^Mesclun_Beds)+B46,Farmer_Hours)-MIN((Tomato_Beds*Tomato_Hours*Season*(1+Tomato_Dim_Return)^Tomato_Beds+Mesclun_Beds*Mesclun_Hours*Season*(1+Mesclun_Dim_Return)^Mesclun_Beds)+IF(ISNUMBER(B45),B45,0),Farmer_Hours)))*Temp_Worker_Cost,"")</f>
        <v/>
      </c>
      <c r="G46" s="57">
        <f>IF(A46&lt;=Carrot_Bed_Cap,D46-E46-F46,"")</f>
        <v/>
      </c>
      <c r="H46" s="57">
        <f>IF(A46&lt;=Carrot_Bed_Cap,IF(ISNUMBER(H45),H45,0)+G46,"")</f>
        <v/>
      </c>
      <c r="I46" s="51">
        <f>IF(AND(AND(ISNUMBER(G46),G46&lt;0,ISNUMBER(G45),G45&gt;=0),(A46=Carrot_Beds)),"&lt;- Cross-over &amp; Solver-selected",IF(AND(ISNUMBER(G46),G46&lt;0,ISNUMBER(G45),G45&gt;=0),"&lt;- Cross-over (next bed unprofitable)",IF((A46=Carrot_Beds),"&lt;- Solver-selected","")))</f>
        <v/>
      </c>
    </row>
    <row r="47" ht="15" customHeight="1" s="35">
      <c r="A47" s="56">
        <f>ROW()-39</f>
        <v/>
      </c>
      <c r="B47" s="52">
        <f>IF(A47&lt;=Carrot_Bed_Cap,A47*Carrrot_Hours*Season*(1+Carrot_Dim_Return)^A47,"")</f>
        <v/>
      </c>
      <c r="C47" s="52">
        <f>IF(A47&lt;=Carrot_Bed_Cap,B47-IF(ISNUMBER(B46),B46,0),"")</f>
        <v/>
      </c>
      <c r="D47" s="57">
        <f>IF(A47&lt;=Carrot_Bed_Cap,Carrot_Price,"")</f>
        <v/>
      </c>
      <c r="E47" s="57">
        <f>IF(A47&lt;=Carrot_Bed_Cap,Carrot_Fertilizer,"")</f>
        <v/>
      </c>
      <c r="F47" s="57">
        <f>IF(A47&lt;=Carrot_Bed_Cap,MAX(0,MIN((Tomato_Beds*Tomato_Hours*Season*(1+Tomato_Dim_Return)^Tomato_Beds+Mesclun_Beds*Mesclun_Hours*Season*(1+Mesclun_Dim_Return)^Mesclun_Beds)+B47,Farmer_Hours)-MIN((Tomato_Beds*Tomato_Hours*Season*(1+Tomato_Dim_Return)^Tomato_Beds+Mesclun_Beds*Mesclun_Hours*Season*(1+Mesclun_Dim_Return)^Mesclun_Beds)+IF(ISNUMBER(B46),B46,0),Farmer_Hours))*Farmer_Cost+(C47-MAX(0,MIN((Tomato_Beds*Tomato_Hours*Season*(1+Tomato_Dim_Return)^Tomato_Beds+Mesclun_Beds*Mesclun_Hours*Season*(1+Mesclun_Dim_Return)^Mesclun_Beds)+B47,Farmer_Hours)-MIN((Tomato_Beds*Tomato_Hours*Season*(1+Tomato_Dim_Return)^Tomato_Beds+Mesclun_Beds*Mesclun_Hours*Season*(1+Mesclun_Dim_Return)^Mesclun_Beds)+IF(ISNUMBER(B46),B46,0),Farmer_Hours)))*Temp_Worker_Cost,"")</f>
        <v/>
      </c>
      <c r="G47" s="57">
        <f>IF(A47&lt;=Carrot_Bed_Cap,D47-E47-F47,"")</f>
        <v/>
      </c>
      <c r="H47" s="57">
        <f>IF(A47&lt;=Carrot_Bed_Cap,IF(ISNUMBER(H46),H46,0)+G47,"")</f>
        <v/>
      </c>
      <c r="I47" s="51">
        <f>IF(AND(AND(ISNUMBER(G47),G47&lt;0,ISNUMBER(G46),G46&gt;=0),(A47=Carrot_Beds)),"&lt;- Cross-over &amp; Solver-selected",IF(AND(ISNUMBER(G47),G47&lt;0,ISNUMBER(G46),G46&gt;=0),"&lt;- Cross-over (next bed unprofitable)",IF((A47=Carrot_Beds),"&lt;- Solver-selected","")))</f>
        <v/>
      </c>
    </row>
    <row r="48" ht="15" customHeight="1" s="35">
      <c r="A48" s="56">
        <f>ROW()-39</f>
        <v/>
      </c>
      <c r="B48" s="52">
        <f>IF(A48&lt;=Carrot_Bed_Cap,A48*Carrrot_Hours*Season*(1+Carrot_Dim_Return)^A48,"")</f>
        <v/>
      </c>
      <c r="C48" s="52">
        <f>IF(A48&lt;=Carrot_Bed_Cap,B48-IF(ISNUMBER(B47),B47,0),"")</f>
        <v/>
      </c>
      <c r="D48" s="57">
        <f>IF(A48&lt;=Carrot_Bed_Cap,Carrot_Price,"")</f>
        <v/>
      </c>
      <c r="E48" s="57">
        <f>IF(A48&lt;=Carrot_Bed_Cap,Carrot_Fertilizer,"")</f>
        <v/>
      </c>
      <c r="F48" s="57">
        <f>IF(A48&lt;=Carrot_Bed_Cap,MAX(0,MIN((Tomato_Beds*Tomato_Hours*Season*(1+Tomato_Dim_Return)^Tomato_Beds+Mesclun_Beds*Mesclun_Hours*Season*(1+Mesclun_Dim_Return)^Mesclun_Beds)+B48,Farmer_Hours)-MIN((Tomato_Beds*Tomato_Hours*Season*(1+Tomato_Dim_Return)^Tomato_Beds+Mesclun_Beds*Mesclun_Hours*Season*(1+Mesclun_Dim_Return)^Mesclun_Beds)+IF(ISNUMBER(B47),B47,0),Farmer_Hours))*Farmer_Cost+(C48-MAX(0,MIN((Tomato_Beds*Tomato_Hours*Season*(1+Tomato_Dim_Return)^Tomato_Beds+Mesclun_Beds*Mesclun_Hours*Season*(1+Mesclun_Dim_Return)^Mesclun_Beds)+B48,Farmer_Hours)-MIN((Tomato_Beds*Tomato_Hours*Season*(1+Tomato_Dim_Return)^Tomato_Beds+Mesclun_Beds*Mesclun_Hours*Season*(1+Mesclun_Dim_Return)^Mesclun_Beds)+IF(ISNUMBER(B47),B47,0),Farmer_Hours)))*Temp_Worker_Cost,"")</f>
        <v/>
      </c>
      <c r="G48" s="57">
        <f>IF(A48&lt;=Carrot_Bed_Cap,D48-E48-F48,"")</f>
        <v/>
      </c>
      <c r="H48" s="57">
        <f>IF(A48&lt;=Carrot_Bed_Cap,IF(ISNUMBER(H47),H47,0)+G48,"")</f>
        <v/>
      </c>
      <c r="I48" s="51">
        <f>IF(AND(AND(ISNUMBER(G48),G48&lt;0,ISNUMBER(G47),G47&gt;=0),(A48=Carrot_Beds)),"&lt;- Cross-over &amp; Solver-selected",IF(AND(ISNUMBER(G48),G48&lt;0,ISNUMBER(G47),G47&gt;=0),"&lt;- Cross-over (next bed unprofitable)",IF((A48=Carrot_Beds),"&lt;- Solver-selected","")))</f>
        <v/>
      </c>
    </row>
    <row r="49" ht="15" customHeight="1" s="35">
      <c r="A49" s="56">
        <f>ROW()-39</f>
        <v/>
      </c>
      <c r="B49" s="52">
        <f>IF(A49&lt;=Carrot_Bed_Cap,A49*Carrrot_Hours*Season*(1+Carrot_Dim_Return)^A49,"")</f>
        <v/>
      </c>
      <c r="C49" s="52">
        <f>IF(A49&lt;=Carrot_Bed_Cap,B49-IF(ISNUMBER(B48),B48,0),"")</f>
        <v/>
      </c>
      <c r="D49" s="57">
        <f>IF(A49&lt;=Carrot_Bed_Cap,Carrot_Price,"")</f>
        <v/>
      </c>
      <c r="E49" s="57">
        <f>IF(A49&lt;=Carrot_Bed_Cap,Carrot_Fertilizer,"")</f>
        <v/>
      </c>
      <c r="F49" s="57">
        <f>IF(A49&lt;=Carrot_Bed_Cap,MAX(0,MIN((Tomato_Beds*Tomato_Hours*Season*(1+Tomato_Dim_Return)^Tomato_Beds+Mesclun_Beds*Mesclun_Hours*Season*(1+Mesclun_Dim_Return)^Mesclun_Beds)+B49,Farmer_Hours)-MIN((Tomato_Beds*Tomato_Hours*Season*(1+Tomato_Dim_Return)^Tomato_Beds+Mesclun_Beds*Mesclun_Hours*Season*(1+Mesclun_Dim_Return)^Mesclun_Beds)+IF(ISNUMBER(B48),B48,0),Farmer_Hours))*Farmer_Cost+(C49-MAX(0,MIN((Tomato_Beds*Tomato_Hours*Season*(1+Tomato_Dim_Return)^Tomato_Beds+Mesclun_Beds*Mesclun_Hours*Season*(1+Mesclun_Dim_Return)^Mesclun_Beds)+B49,Farmer_Hours)-MIN((Tomato_Beds*Tomato_Hours*Season*(1+Tomato_Dim_Return)^Tomato_Beds+Mesclun_Beds*Mesclun_Hours*Season*(1+Mesclun_Dim_Return)^Mesclun_Beds)+IF(ISNUMBER(B48),B48,0),Farmer_Hours)))*Temp_Worker_Cost,"")</f>
        <v/>
      </c>
      <c r="G49" s="57">
        <f>IF(A49&lt;=Carrot_Bed_Cap,D49-E49-F49,"")</f>
        <v/>
      </c>
      <c r="H49" s="57">
        <f>IF(A49&lt;=Carrot_Bed_Cap,IF(ISNUMBER(H48),H48,0)+G49,"")</f>
        <v/>
      </c>
      <c r="I49" s="51">
        <f>IF(AND(AND(ISNUMBER(G49),G49&lt;0,ISNUMBER(G48),G48&gt;=0),(A49=Carrot_Beds)),"&lt;- Cross-over &amp; Solver-selected",IF(AND(ISNUMBER(G49),G49&lt;0,ISNUMBER(G48),G48&gt;=0),"&lt;- Cross-over (next bed unprofitable)",IF((A49=Carrot_Beds),"&lt;- Solver-selected","")))</f>
        <v/>
      </c>
    </row>
    <row r="50" ht="15" customHeight="1" s="35">
      <c r="A50" s="56">
        <f>ROW()-39</f>
        <v/>
      </c>
      <c r="B50" s="52">
        <f>IF(A50&lt;=Carrot_Bed_Cap,A50*Carrrot_Hours*Season*(1+Carrot_Dim_Return)^A50,"")</f>
        <v/>
      </c>
      <c r="C50" s="52">
        <f>IF(A50&lt;=Carrot_Bed_Cap,B50-IF(ISNUMBER(B49),B49,0),"")</f>
        <v/>
      </c>
      <c r="D50" s="57">
        <f>IF(A50&lt;=Carrot_Bed_Cap,Carrot_Price,"")</f>
        <v/>
      </c>
      <c r="E50" s="57">
        <f>IF(A50&lt;=Carrot_Bed_Cap,Carrot_Fertilizer,"")</f>
        <v/>
      </c>
      <c r="F50" s="57">
        <f>IF(A50&lt;=Carrot_Bed_Cap,MAX(0,MIN((Tomato_Beds*Tomato_Hours*Season*(1+Tomato_Dim_Return)^Tomato_Beds+Mesclun_Beds*Mesclun_Hours*Season*(1+Mesclun_Dim_Return)^Mesclun_Beds)+B50,Farmer_Hours)-MIN((Tomato_Beds*Tomato_Hours*Season*(1+Tomato_Dim_Return)^Tomato_Beds+Mesclun_Beds*Mesclun_Hours*Season*(1+Mesclun_Dim_Return)^Mesclun_Beds)+IF(ISNUMBER(B49),B49,0),Farmer_Hours))*Farmer_Cost+(C50-MAX(0,MIN((Tomato_Beds*Tomato_Hours*Season*(1+Tomato_Dim_Return)^Tomato_Beds+Mesclun_Beds*Mesclun_Hours*Season*(1+Mesclun_Dim_Return)^Mesclun_Beds)+B50,Farmer_Hours)-MIN((Tomato_Beds*Tomato_Hours*Season*(1+Tomato_Dim_Return)^Tomato_Beds+Mesclun_Beds*Mesclun_Hours*Season*(1+Mesclun_Dim_Return)^Mesclun_Beds)+IF(ISNUMBER(B49),B49,0),Farmer_Hours)))*Temp_Worker_Cost,"")</f>
        <v/>
      </c>
      <c r="G50" s="57">
        <f>IF(A50&lt;=Carrot_Bed_Cap,D50-E50-F50,"")</f>
        <v/>
      </c>
      <c r="H50" s="57">
        <f>IF(A50&lt;=Carrot_Bed_Cap,IF(ISNUMBER(H49),H49,0)+G50,"")</f>
        <v/>
      </c>
      <c r="I50" s="51">
        <f>IF(AND(AND(ISNUMBER(G50),G50&lt;0,ISNUMBER(G49),G49&gt;=0),(A50=Carrot_Beds)),"&lt;- Cross-over &amp; Solver-selected",IF(AND(ISNUMBER(G50),G50&lt;0,ISNUMBER(G49),G49&gt;=0),"&lt;- Cross-over (next bed unprofitable)",IF((A50=Carrot_Beds),"&lt;- Solver-selected","")))</f>
        <v/>
      </c>
    </row>
    <row r="51" ht="15" customHeight="1" s="35">
      <c r="A51" s="56">
        <f>ROW()-39</f>
        <v/>
      </c>
      <c r="B51" s="52">
        <f>IF(A51&lt;=Carrot_Bed_Cap,A51*Carrrot_Hours*Season*(1+Carrot_Dim_Return)^A51,"")</f>
        <v/>
      </c>
      <c r="C51" s="52">
        <f>IF(A51&lt;=Carrot_Bed_Cap,B51-IF(ISNUMBER(B50),B50,0),"")</f>
        <v/>
      </c>
      <c r="D51" s="57">
        <f>IF(A51&lt;=Carrot_Bed_Cap,Carrot_Price,"")</f>
        <v/>
      </c>
      <c r="E51" s="57">
        <f>IF(A51&lt;=Carrot_Bed_Cap,Carrot_Fertilizer,"")</f>
        <v/>
      </c>
      <c r="F51" s="57">
        <f>IF(A51&lt;=Carrot_Bed_Cap,MAX(0,MIN((Tomato_Beds*Tomato_Hours*Season*(1+Tomato_Dim_Return)^Tomato_Beds+Mesclun_Beds*Mesclun_Hours*Season*(1+Mesclun_Dim_Return)^Mesclun_Beds)+B51,Farmer_Hours)-MIN((Tomato_Beds*Tomato_Hours*Season*(1+Tomato_Dim_Return)^Tomato_Beds+Mesclun_Beds*Mesclun_Hours*Season*(1+Mesclun_Dim_Return)^Mesclun_Beds)+IF(ISNUMBER(B50),B50,0),Farmer_Hours))*Farmer_Cost+(C51-MAX(0,MIN((Tomato_Beds*Tomato_Hours*Season*(1+Tomato_Dim_Return)^Tomato_Beds+Mesclun_Beds*Mesclun_Hours*Season*(1+Mesclun_Dim_Return)^Mesclun_Beds)+B51,Farmer_Hours)-MIN((Tomato_Beds*Tomato_Hours*Season*(1+Tomato_Dim_Return)^Tomato_Beds+Mesclun_Beds*Mesclun_Hours*Season*(1+Mesclun_Dim_Return)^Mesclun_Beds)+IF(ISNUMBER(B50),B50,0),Farmer_Hours)))*Temp_Worker_Cost,"")</f>
        <v/>
      </c>
      <c r="G51" s="57">
        <f>IF(A51&lt;=Carrot_Bed_Cap,D51-E51-F51,"")</f>
        <v/>
      </c>
      <c r="H51" s="57">
        <f>IF(A51&lt;=Carrot_Bed_Cap,IF(ISNUMBER(H50),H50,0)+G51,"")</f>
        <v/>
      </c>
      <c r="I51" s="51">
        <f>IF(AND(AND(ISNUMBER(G51),G51&lt;0,ISNUMBER(G50),G50&gt;=0),(A51=Carrot_Beds)),"&lt;- Cross-over &amp; Solver-selected",IF(AND(ISNUMBER(G51),G51&lt;0,ISNUMBER(G50),G50&gt;=0),"&lt;- Cross-over (next bed unprofitable)",IF((A51=Carrot_Beds),"&lt;- Solver-selected","")))</f>
        <v/>
      </c>
    </row>
    <row r="52" ht="15" customHeight="1" s="35">
      <c r="A52" s="56">
        <f>ROW()-39</f>
        <v/>
      </c>
      <c r="B52" s="52">
        <f>IF(A52&lt;=Carrot_Bed_Cap,A52*Carrrot_Hours*Season*(1+Carrot_Dim_Return)^A52,"")</f>
        <v/>
      </c>
      <c r="C52" s="52">
        <f>IF(A52&lt;=Carrot_Bed_Cap,B52-IF(ISNUMBER(B51),B51,0),"")</f>
        <v/>
      </c>
      <c r="D52" s="57">
        <f>IF(A52&lt;=Carrot_Bed_Cap,Carrot_Price,"")</f>
        <v/>
      </c>
      <c r="E52" s="57">
        <f>IF(A52&lt;=Carrot_Bed_Cap,Carrot_Fertilizer,"")</f>
        <v/>
      </c>
      <c r="F52" s="57">
        <f>IF(A52&lt;=Carrot_Bed_Cap,MAX(0,MIN((Tomato_Beds*Tomato_Hours*Season*(1+Tomato_Dim_Return)^Tomato_Beds+Mesclun_Beds*Mesclun_Hours*Season*(1+Mesclun_Dim_Return)^Mesclun_Beds)+B52,Farmer_Hours)-MIN((Tomato_Beds*Tomato_Hours*Season*(1+Tomato_Dim_Return)^Tomato_Beds+Mesclun_Beds*Mesclun_Hours*Season*(1+Mesclun_Dim_Return)^Mesclun_Beds)+IF(ISNUMBER(B51),B51,0),Farmer_Hours))*Farmer_Cost+(C52-MAX(0,MIN((Tomato_Beds*Tomato_Hours*Season*(1+Tomato_Dim_Return)^Tomato_Beds+Mesclun_Beds*Mesclun_Hours*Season*(1+Mesclun_Dim_Return)^Mesclun_Beds)+B52,Farmer_Hours)-MIN((Tomato_Beds*Tomato_Hours*Season*(1+Tomato_Dim_Return)^Tomato_Beds+Mesclun_Beds*Mesclun_Hours*Season*(1+Mesclun_Dim_Return)^Mesclun_Beds)+IF(ISNUMBER(B51),B51,0),Farmer_Hours)))*Temp_Worker_Cost,"")</f>
        <v/>
      </c>
      <c r="G52" s="57">
        <f>IF(A52&lt;=Carrot_Bed_Cap,D52-E52-F52,"")</f>
        <v/>
      </c>
      <c r="H52" s="57">
        <f>IF(A52&lt;=Carrot_Bed_Cap,IF(ISNUMBER(H51),H51,0)+G52,"")</f>
        <v/>
      </c>
      <c r="I52" s="51">
        <f>IF(AND(AND(ISNUMBER(G52),G52&lt;0,ISNUMBER(G51),G51&gt;=0),(A52=Carrot_Beds)),"&lt;- Cross-over &amp; Solver-selected",IF(AND(ISNUMBER(G52),G52&lt;0,ISNUMBER(G51),G51&gt;=0),"&lt;- Cross-over (next bed unprofitable)",IF((A52=Carrot_Beds),"&lt;- Solver-selected","")))</f>
        <v/>
      </c>
    </row>
    <row r="53" ht="15" customHeight="1" s="35">
      <c r="A53" s="56">
        <f>ROW()-39</f>
        <v/>
      </c>
      <c r="B53" s="52">
        <f>IF(A53&lt;=Carrot_Bed_Cap,A53*Carrrot_Hours*Season*(1+Carrot_Dim_Return)^A53,"")</f>
        <v/>
      </c>
      <c r="C53" s="52">
        <f>IF(A53&lt;=Carrot_Bed_Cap,B53-IF(ISNUMBER(B52),B52,0),"")</f>
        <v/>
      </c>
      <c r="D53" s="57">
        <f>IF(A53&lt;=Carrot_Bed_Cap,Carrot_Price,"")</f>
        <v/>
      </c>
      <c r="E53" s="57">
        <f>IF(A53&lt;=Carrot_Bed_Cap,Carrot_Fertilizer,"")</f>
        <v/>
      </c>
      <c r="F53" s="57">
        <f>IF(A53&lt;=Carrot_Bed_Cap,MAX(0,MIN((Tomato_Beds*Tomato_Hours*Season*(1+Tomato_Dim_Return)^Tomato_Beds+Mesclun_Beds*Mesclun_Hours*Season*(1+Mesclun_Dim_Return)^Mesclun_Beds)+B53,Farmer_Hours)-MIN((Tomato_Beds*Tomato_Hours*Season*(1+Tomato_Dim_Return)^Tomato_Beds+Mesclun_Beds*Mesclun_Hours*Season*(1+Mesclun_Dim_Return)^Mesclun_Beds)+IF(ISNUMBER(B52),B52,0),Farmer_Hours))*Farmer_Cost+(C53-MAX(0,MIN((Tomato_Beds*Tomato_Hours*Season*(1+Tomato_Dim_Return)^Tomato_Beds+Mesclun_Beds*Mesclun_Hours*Season*(1+Mesclun_Dim_Return)^Mesclun_Beds)+B53,Farmer_Hours)-MIN((Tomato_Beds*Tomato_Hours*Season*(1+Tomato_Dim_Return)^Tomato_Beds+Mesclun_Beds*Mesclun_Hours*Season*(1+Mesclun_Dim_Return)^Mesclun_Beds)+IF(ISNUMBER(B52),B52,0),Farmer_Hours)))*Temp_Worker_Cost,"")</f>
        <v/>
      </c>
      <c r="G53" s="57">
        <f>IF(A53&lt;=Carrot_Bed_Cap,D53-E53-F53,"")</f>
        <v/>
      </c>
      <c r="H53" s="57">
        <f>IF(A53&lt;=Carrot_Bed_Cap,IF(ISNUMBER(H52),H52,0)+G53,"")</f>
        <v/>
      </c>
      <c r="I53" s="51">
        <f>IF(AND(AND(ISNUMBER(G53),G53&lt;0,ISNUMBER(G52),G52&gt;=0),(A53=Carrot_Beds)),"&lt;- Cross-over &amp; Solver-selected",IF(AND(ISNUMBER(G53),G53&lt;0,ISNUMBER(G52),G52&gt;=0),"&lt;- Cross-over (next bed unprofitable)",IF((A53=Carrot_Beds),"&lt;- Solver-selected","")))</f>
        <v/>
      </c>
    </row>
    <row r="54" ht="15" customHeight="1" s="35">
      <c r="A54" s="56">
        <f>ROW()-39</f>
        <v/>
      </c>
      <c r="B54" s="52">
        <f>IF(A54&lt;=Carrot_Bed_Cap,A54*Carrrot_Hours*Season*(1+Carrot_Dim_Return)^A54,"")</f>
        <v/>
      </c>
      <c r="C54" s="52">
        <f>IF(A54&lt;=Carrot_Bed_Cap,B54-IF(ISNUMBER(B53),B53,0),"")</f>
        <v/>
      </c>
      <c r="D54" s="57">
        <f>IF(A54&lt;=Carrot_Bed_Cap,Carrot_Price,"")</f>
        <v/>
      </c>
      <c r="E54" s="57">
        <f>IF(A54&lt;=Carrot_Bed_Cap,Carrot_Fertilizer,"")</f>
        <v/>
      </c>
      <c r="F54" s="57">
        <f>IF(A54&lt;=Carrot_Bed_Cap,MAX(0,MIN((Tomato_Beds*Tomato_Hours*Season*(1+Tomato_Dim_Return)^Tomato_Beds+Mesclun_Beds*Mesclun_Hours*Season*(1+Mesclun_Dim_Return)^Mesclun_Beds)+B54,Farmer_Hours)-MIN((Tomato_Beds*Tomato_Hours*Season*(1+Tomato_Dim_Return)^Tomato_Beds+Mesclun_Beds*Mesclun_Hours*Season*(1+Mesclun_Dim_Return)^Mesclun_Beds)+IF(ISNUMBER(B53),B53,0),Farmer_Hours))*Farmer_Cost+(C54-MAX(0,MIN((Tomato_Beds*Tomato_Hours*Season*(1+Tomato_Dim_Return)^Tomato_Beds+Mesclun_Beds*Mesclun_Hours*Season*(1+Mesclun_Dim_Return)^Mesclun_Beds)+B54,Farmer_Hours)-MIN((Tomato_Beds*Tomato_Hours*Season*(1+Tomato_Dim_Return)^Tomato_Beds+Mesclun_Beds*Mesclun_Hours*Season*(1+Mesclun_Dim_Return)^Mesclun_Beds)+IF(ISNUMBER(B53),B53,0),Farmer_Hours)))*Temp_Worker_Cost,"")</f>
        <v/>
      </c>
      <c r="G54" s="57">
        <f>IF(A54&lt;=Carrot_Bed_Cap,D54-E54-F54,"")</f>
        <v/>
      </c>
      <c r="H54" s="57">
        <f>IF(A54&lt;=Carrot_Bed_Cap,IF(ISNUMBER(H53),H53,0)+G54,"")</f>
        <v/>
      </c>
      <c r="I54" s="51">
        <f>IF(AND(AND(ISNUMBER(G54),G54&lt;0,ISNUMBER(G53),G53&gt;=0),(A54=Carrot_Beds)),"&lt;- Cross-over &amp; Solver-selected",IF(AND(ISNUMBER(G54),G54&lt;0,ISNUMBER(G53),G53&gt;=0),"&lt;- Cross-over (next bed unprofitable)",IF((A54=Carrot_Beds),"&lt;- Solver-selected","")))</f>
        <v/>
      </c>
    </row>
    <row r="55" ht="15" customHeight="1" s="35">
      <c r="A55" s="56">
        <f>ROW()-39</f>
        <v/>
      </c>
      <c r="B55" s="52">
        <f>IF(A55&lt;=Carrot_Bed_Cap,A55*Carrrot_Hours*Season*(1+Carrot_Dim_Return)^A55,"")</f>
        <v/>
      </c>
      <c r="C55" s="52">
        <f>IF(A55&lt;=Carrot_Bed_Cap,B55-IF(ISNUMBER(B54),B54,0),"")</f>
        <v/>
      </c>
      <c r="D55" s="57">
        <f>IF(A55&lt;=Carrot_Bed_Cap,Carrot_Price,"")</f>
        <v/>
      </c>
      <c r="E55" s="57">
        <f>IF(A55&lt;=Carrot_Bed_Cap,Carrot_Fertilizer,"")</f>
        <v/>
      </c>
      <c r="F55" s="57">
        <f>IF(A55&lt;=Carrot_Bed_Cap,MAX(0,MIN((Tomato_Beds*Tomato_Hours*Season*(1+Tomato_Dim_Return)^Tomato_Beds+Mesclun_Beds*Mesclun_Hours*Season*(1+Mesclun_Dim_Return)^Mesclun_Beds)+B55,Farmer_Hours)-MIN((Tomato_Beds*Tomato_Hours*Season*(1+Tomato_Dim_Return)^Tomato_Beds+Mesclun_Beds*Mesclun_Hours*Season*(1+Mesclun_Dim_Return)^Mesclun_Beds)+IF(ISNUMBER(B54),B54,0),Farmer_Hours))*Farmer_Cost+(C55-MAX(0,MIN((Tomato_Beds*Tomato_Hours*Season*(1+Tomato_Dim_Return)^Tomato_Beds+Mesclun_Beds*Mesclun_Hours*Season*(1+Mesclun_Dim_Return)^Mesclun_Beds)+B55,Farmer_Hours)-MIN((Tomato_Beds*Tomato_Hours*Season*(1+Tomato_Dim_Return)^Tomato_Beds+Mesclun_Beds*Mesclun_Hours*Season*(1+Mesclun_Dim_Return)^Mesclun_Beds)+IF(ISNUMBER(B54),B54,0),Farmer_Hours)))*Temp_Worker_Cost,"")</f>
        <v/>
      </c>
      <c r="G55" s="57">
        <f>IF(A55&lt;=Carrot_Bed_Cap,D55-E55-F55,"")</f>
        <v/>
      </c>
      <c r="H55" s="57">
        <f>IF(A55&lt;=Carrot_Bed_Cap,IF(ISNUMBER(H54),H54,0)+G55,"")</f>
        <v/>
      </c>
      <c r="I55" s="51">
        <f>IF(AND(AND(ISNUMBER(G55),G55&lt;0,ISNUMBER(G54),G54&gt;=0),(A55=Carrot_Beds)),"&lt;- Cross-over &amp; Solver-selected",IF(AND(ISNUMBER(G55),G55&lt;0,ISNUMBER(G54),G54&gt;=0),"&lt;- Cross-over (next bed unprofitable)",IF((A55=Carrot_Beds),"&lt;- Solver-selected","")))</f>
        <v/>
      </c>
    </row>
    <row r="56" ht="15" customHeight="1" s="35">
      <c r="A56" s="56">
        <f>ROW()-39</f>
        <v/>
      </c>
      <c r="B56" s="52">
        <f>IF(A56&lt;=Carrot_Bed_Cap,A56*Carrrot_Hours*Season*(1+Carrot_Dim_Return)^A56,"")</f>
        <v/>
      </c>
      <c r="C56" s="52">
        <f>IF(A56&lt;=Carrot_Bed_Cap,B56-IF(ISNUMBER(B55),B55,0),"")</f>
        <v/>
      </c>
      <c r="D56" s="57">
        <f>IF(A56&lt;=Carrot_Bed_Cap,Carrot_Price,"")</f>
        <v/>
      </c>
      <c r="E56" s="57">
        <f>IF(A56&lt;=Carrot_Bed_Cap,Carrot_Fertilizer,"")</f>
        <v/>
      </c>
      <c r="F56" s="57">
        <f>IF(A56&lt;=Carrot_Bed_Cap,MAX(0,MIN((Tomato_Beds*Tomato_Hours*Season*(1+Tomato_Dim_Return)^Tomato_Beds+Mesclun_Beds*Mesclun_Hours*Season*(1+Mesclun_Dim_Return)^Mesclun_Beds)+B56,Farmer_Hours)-MIN((Tomato_Beds*Tomato_Hours*Season*(1+Tomato_Dim_Return)^Tomato_Beds+Mesclun_Beds*Mesclun_Hours*Season*(1+Mesclun_Dim_Return)^Mesclun_Beds)+IF(ISNUMBER(B55),B55,0),Farmer_Hours))*Farmer_Cost+(C56-MAX(0,MIN((Tomato_Beds*Tomato_Hours*Season*(1+Tomato_Dim_Return)^Tomato_Beds+Mesclun_Beds*Mesclun_Hours*Season*(1+Mesclun_Dim_Return)^Mesclun_Beds)+B56,Farmer_Hours)-MIN((Tomato_Beds*Tomato_Hours*Season*(1+Tomato_Dim_Return)^Tomato_Beds+Mesclun_Beds*Mesclun_Hours*Season*(1+Mesclun_Dim_Return)^Mesclun_Beds)+IF(ISNUMBER(B55),B55,0),Farmer_Hours)))*Temp_Worker_Cost,"")</f>
        <v/>
      </c>
      <c r="G56" s="57">
        <f>IF(A56&lt;=Carrot_Bed_Cap,D56-E56-F56,"")</f>
        <v/>
      </c>
      <c r="H56" s="57">
        <f>IF(A56&lt;=Carrot_Bed_Cap,IF(ISNUMBER(H55),H55,0)+G56,"")</f>
        <v/>
      </c>
      <c r="I56" s="51">
        <f>IF(AND(AND(ISNUMBER(G56),G56&lt;0,ISNUMBER(G55),G55&gt;=0),(A56=Carrot_Beds)),"&lt;- Cross-over &amp; Solver-selected",IF(AND(ISNUMBER(G56),G56&lt;0,ISNUMBER(G55),G55&gt;=0),"&lt;- Cross-over (next bed unprofitable)",IF((A56=Carrot_Beds),"&lt;- Solver-selected","")))</f>
        <v/>
      </c>
    </row>
    <row r="57" ht="15" customHeight="1" s="35">
      <c r="A57" s="56">
        <f>ROW()-39</f>
        <v/>
      </c>
      <c r="B57" s="52">
        <f>IF(A57&lt;=Carrot_Bed_Cap,A57*Carrrot_Hours*Season*(1+Carrot_Dim_Return)^A57,"")</f>
        <v/>
      </c>
      <c r="C57" s="52">
        <f>IF(A57&lt;=Carrot_Bed_Cap,B57-IF(ISNUMBER(B56),B56,0),"")</f>
        <v/>
      </c>
      <c r="D57" s="57">
        <f>IF(A57&lt;=Carrot_Bed_Cap,Carrot_Price,"")</f>
        <v/>
      </c>
      <c r="E57" s="57">
        <f>IF(A57&lt;=Carrot_Bed_Cap,Carrot_Fertilizer,"")</f>
        <v/>
      </c>
      <c r="F57" s="57">
        <f>IF(A57&lt;=Carrot_Bed_Cap,MAX(0,MIN((Tomato_Beds*Tomato_Hours*Season*(1+Tomato_Dim_Return)^Tomato_Beds+Mesclun_Beds*Mesclun_Hours*Season*(1+Mesclun_Dim_Return)^Mesclun_Beds)+B57,Farmer_Hours)-MIN((Tomato_Beds*Tomato_Hours*Season*(1+Tomato_Dim_Return)^Tomato_Beds+Mesclun_Beds*Mesclun_Hours*Season*(1+Mesclun_Dim_Return)^Mesclun_Beds)+IF(ISNUMBER(B56),B56,0),Farmer_Hours))*Farmer_Cost+(C57-MAX(0,MIN((Tomato_Beds*Tomato_Hours*Season*(1+Tomato_Dim_Return)^Tomato_Beds+Mesclun_Beds*Mesclun_Hours*Season*(1+Mesclun_Dim_Return)^Mesclun_Beds)+B57,Farmer_Hours)-MIN((Tomato_Beds*Tomato_Hours*Season*(1+Tomato_Dim_Return)^Tomato_Beds+Mesclun_Beds*Mesclun_Hours*Season*(1+Mesclun_Dim_Return)^Mesclun_Beds)+IF(ISNUMBER(B56),B56,0),Farmer_Hours)))*Temp_Worker_Cost,"")</f>
        <v/>
      </c>
      <c r="G57" s="57">
        <f>IF(A57&lt;=Carrot_Bed_Cap,D57-E57-F57,"")</f>
        <v/>
      </c>
      <c r="H57" s="57">
        <f>IF(A57&lt;=Carrot_Bed_Cap,IF(ISNUMBER(H56),H56,0)+G57,"")</f>
        <v/>
      </c>
      <c r="I57" s="51">
        <f>IF(AND(AND(ISNUMBER(G57),G57&lt;0,ISNUMBER(G56),G56&gt;=0),(A57=Carrot_Beds)),"&lt;- Cross-over &amp; Solver-selected",IF(AND(ISNUMBER(G57),G57&lt;0,ISNUMBER(G56),G56&gt;=0),"&lt;- Cross-over (next bed unprofitable)",IF((A57=Carrot_Beds),"&lt;- Solver-selected","")))</f>
        <v/>
      </c>
    </row>
    <row r="58" ht="15" customHeight="1" s="35">
      <c r="A58" s="56">
        <f>ROW()-39</f>
        <v/>
      </c>
      <c r="B58" s="52">
        <f>IF(A58&lt;=Carrot_Bed_Cap,A58*Carrrot_Hours*Season*(1+Carrot_Dim_Return)^A58,"")</f>
        <v/>
      </c>
      <c r="C58" s="52">
        <f>IF(A58&lt;=Carrot_Bed_Cap,B58-IF(ISNUMBER(B57),B57,0),"")</f>
        <v/>
      </c>
      <c r="D58" s="57">
        <f>IF(A58&lt;=Carrot_Bed_Cap,Carrot_Price,"")</f>
        <v/>
      </c>
      <c r="E58" s="57">
        <f>IF(A58&lt;=Carrot_Bed_Cap,Carrot_Fertilizer,"")</f>
        <v/>
      </c>
      <c r="F58" s="57">
        <f>IF(A58&lt;=Carrot_Bed_Cap,MAX(0,MIN((Tomato_Beds*Tomato_Hours*Season*(1+Tomato_Dim_Return)^Tomato_Beds+Mesclun_Beds*Mesclun_Hours*Season*(1+Mesclun_Dim_Return)^Mesclun_Beds)+B58,Farmer_Hours)-MIN((Tomato_Beds*Tomato_Hours*Season*(1+Tomato_Dim_Return)^Tomato_Beds+Mesclun_Beds*Mesclun_Hours*Season*(1+Mesclun_Dim_Return)^Mesclun_Beds)+IF(ISNUMBER(B57),B57,0),Farmer_Hours))*Farmer_Cost+(C58-MAX(0,MIN((Tomato_Beds*Tomato_Hours*Season*(1+Tomato_Dim_Return)^Tomato_Beds+Mesclun_Beds*Mesclun_Hours*Season*(1+Mesclun_Dim_Return)^Mesclun_Beds)+B58,Farmer_Hours)-MIN((Tomato_Beds*Tomato_Hours*Season*(1+Tomato_Dim_Return)^Tomato_Beds+Mesclun_Beds*Mesclun_Hours*Season*(1+Mesclun_Dim_Return)^Mesclun_Beds)+IF(ISNUMBER(B57),B57,0),Farmer_Hours)))*Temp_Worker_Cost,"")</f>
        <v/>
      </c>
      <c r="G58" s="57">
        <f>IF(A58&lt;=Carrot_Bed_Cap,D58-E58-F58,"")</f>
        <v/>
      </c>
      <c r="H58" s="57">
        <f>IF(A58&lt;=Carrot_Bed_Cap,IF(ISNUMBER(H57),H57,0)+G58,"")</f>
        <v/>
      </c>
      <c r="I58" s="51">
        <f>IF(AND(AND(ISNUMBER(G58),G58&lt;0,ISNUMBER(G57),G57&gt;=0),(A58=Carrot_Beds)),"&lt;- Cross-over &amp; Solver-selected",IF(AND(ISNUMBER(G58),G58&lt;0,ISNUMBER(G57),G57&gt;=0),"&lt;- Cross-over (next bed unprofitable)",IF((A58=Carrot_Beds),"&lt;- Solver-selected","")))</f>
        <v/>
      </c>
    </row>
    <row r="59" ht="15" customHeight="1" s="35">
      <c r="A59" s="56">
        <f>ROW()-39</f>
        <v/>
      </c>
      <c r="B59" s="52">
        <f>IF(A59&lt;=Carrot_Bed_Cap,A59*Carrrot_Hours*Season*(1+Carrot_Dim_Return)^A59,"")</f>
        <v/>
      </c>
      <c r="C59" s="52">
        <f>IF(A59&lt;=Carrot_Bed_Cap,B59-IF(ISNUMBER(B58),B58,0),"")</f>
        <v/>
      </c>
      <c r="D59" s="57">
        <f>IF(A59&lt;=Carrot_Bed_Cap,Carrot_Price,"")</f>
        <v/>
      </c>
      <c r="E59" s="57">
        <f>IF(A59&lt;=Carrot_Bed_Cap,Carrot_Fertilizer,"")</f>
        <v/>
      </c>
      <c r="F59" s="57">
        <f>IF(A59&lt;=Carrot_Bed_Cap,MAX(0,MIN((Tomato_Beds*Tomato_Hours*Season*(1+Tomato_Dim_Return)^Tomato_Beds+Mesclun_Beds*Mesclun_Hours*Season*(1+Mesclun_Dim_Return)^Mesclun_Beds)+B59,Farmer_Hours)-MIN((Tomato_Beds*Tomato_Hours*Season*(1+Tomato_Dim_Return)^Tomato_Beds+Mesclun_Beds*Mesclun_Hours*Season*(1+Mesclun_Dim_Return)^Mesclun_Beds)+IF(ISNUMBER(B58),B58,0),Farmer_Hours))*Farmer_Cost+(C59-MAX(0,MIN((Tomato_Beds*Tomato_Hours*Season*(1+Tomato_Dim_Return)^Tomato_Beds+Mesclun_Beds*Mesclun_Hours*Season*(1+Mesclun_Dim_Return)^Mesclun_Beds)+B59,Farmer_Hours)-MIN((Tomato_Beds*Tomato_Hours*Season*(1+Tomato_Dim_Return)^Tomato_Beds+Mesclun_Beds*Mesclun_Hours*Season*(1+Mesclun_Dim_Return)^Mesclun_Beds)+IF(ISNUMBER(B58),B58,0),Farmer_Hours)))*Temp_Worker_Cost,"")</f>
        <v/>
      </c>
      <c r="G59" s="57">
        <f>IF(A59&lt;=Carrot_Bed_Cap,D59-E59-F59,"")</f>
        <v/>
      </c>
      <c r="H59" s="57">
        <f>IF(A59&lt;=Carrot_Bed_Cap,IF(ISNUMBER(H58),H58,0)+G59,"")</f>
        <v/>
      </c>
      <c r="I59" s="51">
        <f>IF(AND(AND(ISNUMBER(G59),G59&lt;0,ISNUMBER(G58),G58&gt;=0),(A59=Carrot_Beds)),"&lt;- Cross-over &amp; Solver-selected",IF(AND(ISNUMBER(G59),G59&lt;0,ISNUMBER(G58),G58&gt;=0),"&lt;- Cross-over (next bed unprofitable)",IF((A59=Carrot_Beds),"&lt;- Solver-selected","")))</f>
        <v/>
      </c>
    </row>
    <row r="60" ht="15" customHeight="1" s="35">
      <c r="A60" s="56">
        <f>ROW()-39</f>
        <v/>
      </c>
      <c r="B60" s="52">
        <f>IF(A60&lt;=Carrot_Bed_Cap,A60*Carrrot_Hours*Season*(1+Carrot_Dim_Return)^A60,"")</f>
        <v/>
      </c>
      <c r="C60" s="52">
        <f>IF(A60&lt;=Carrot_Bed_Cap,B60-IF(ISNUMBER(B59),B59,0),"")</f>
        <v/>
      </c>
      <c r="D60" s="57">
        <f>IF(A60&lt;=Carrot_Bed_Cap,Carrot_Price,"")</f>
        <v/>
      </c>
      <c r="E60" s="57">
        <f>IF(A60&lt;=Carrot_Bed_Cap,Carrot_Fertilizer,"")</f>
        <v/>
      </c>
      <c r="F60" s="57">
        <f>IF(A60&lt;=Carrot_Bed_Cap,C60*Blended_Labor_Rate,"")</f>
        <v/>
      </c>
      <c r="G60" s="57">
        <f>IF(A60&lt;=Carrot_Bed_Cap,D60-E60-F60,"")</f>
        <v/>
      </c>
      <c r="H60" s="57">
        <f>IF(A60&lt;=Carrot_Bed_Cap,IF(ISNUMBER(H59),H59,0)+G60,"")</f>
        <v/>
      </c>
      <c r="I60" s="51">
        <f>IF(AND(AND(ISNUMBER(G60),G60&lt;0,ISNUMBER(G59),G59&gt;=0),(A60=Carrot_Beds)),"&lt;- Cross-over &amp; Solver-selected",IF(AND(ISNUMBER(G60),G60&lt;0,ISNUMBER(G59),G59&gt;=0),"&lt;- Cross-over (next bed unprofitable)",IF((A60=Carrot_Beds),"&lt;- Solver-selected","")))</f>
        <v/>
      </c>
    </row>
    <row r="61" ht="15" customHeight="1" s="35">
      <c r="A61" s="56">
        <f>ROW()-39</f>
        <v/>
      </c>
      <c r="B61" s="52">
        <f>IF(A61&lt;=Carrot_Bed_Cap,A61*Carrrot_Hours*Season*(1+Carrot_Dim_Return)^A61,"")</f>
        <v/>
      </c>
      <c r="C61" s="52">
        <f>IF(A61&lt;=Carrot_Bed_Cap,B61-IF(ISNUMBER(B60),B60,0),"")</f>
        <v/>
      </c>
      <c r="D61" s="57">
        <f>IF(A61&lt;=Carrot_Bed_Cap,Carrot_Price,"")</f>
        <v/>
      </c>
      <c r="E61" s="57">
        <f>IF(A61&lt;=Carrot_Bed_Cap,Carrot_Fertilizer,"")</f>
        <v/>
      </c>
      <c r="F61" s="57">
        <f>IF(A61&lt;=Carrot_Bed_Cap,C61*Blended_Labor_Rate,"")</f>
        <v/>
      </c>
      <c r="G61" s="57">
        <f>IF(A61&lt;=Carrot_Bed_Cap,D61-E61-F61,"")</f>
        <v/>
      </c>
      <c r="H61" s="57">
        <f>IF(A61&lt;=Carrot_Bed_Cap,IF(ISNUMBER(H60),H60,0)+G61,"")</f>
        <v/>
      </c>
      <c r="I61" s="51">
        <f>IF(AND(AND(ISNUMBER(G61),G61&lt;0,ISNUMBER(G60),G60&gt;=0),(A61=Carrot_Beds)),"&lt;- Cross-over &amp; Solver-selected",IF(AND(ISNUMBER(G61),G61&lt;0,ISNUMBER(G60),G60&gt;=0),"&lt;- Cross-over (next bed unprofitable)",IF((A61=Carrot_Beds),"&lt;- Solver-selected","")))</f>
        <v/>
      </c>
    </row>
    <row r="62" ht="15" customHeight="1" s="35">
      <c r="A62" s="56">
        <f>ROW()-39</f>
        <v/>
      </c>
      <c r="B62" s="52">
        <f>IF(A62&lt;=Carrot_Bed_Cap,A62*Carrrot_Hours*Season*(1+Carrot_Dim_Return)^A62,"")</f>
        <v/>
      </c>
      <c r="C62" s="52">
        <f>IF(A62&lt;=Carrot_Bed_Cap,B62-IF(ISNUMBER(B61),B61,0),"")</f>
        <v/>
      </c>
      <c r="D62" s="57">
        <f>IF(A62&lt;=Carrot_Bed_Cap,Carrot_Price,"")</f>
        <v/>
      </c>
      <c r="E62" s="57">
        <f>IF(A62&lt;=Carrot_Bed_Cap,Carrot_Fertilizer,"")</f>
        <v/>
      </c>
      <c r="F62" s="57">
        <f>IF(A62&lt;=Carrot_Bed_Cap,C62*Blended_Labor_Rate,"")</f>
        <v/>
      </c>
      <c r="G62" s="57">
        <f>IF(A62&lt;=Carrot_Bed_Cap,D62-E62-F62,"")</f>
        <v/>
      </c>
      <c r="H62" s="57">
        <f>IF(A62&lt;=Carrot_Bed_Cap,IF(ISNUMBER(H61),H61,0)+G62,"")</f>
        <v/>
      </c>
      <c r="I62" s="51">
        <f>IF(AND(AND(ISNUMBER(G62),G62&lt;0,ISNUMBER(G61),G61&gt;=0),(A62=Carrot_Beds)),"&lt;- Cross-over &amp; Solver-selected",IF(AND(ISNUMBER(G62),G62&lt;0,ISNUMBER(G61),G61&gt;=0),"&lt;- Cross-over (next bed unprofitable)",IF((A62=Carrot_Beds),"&lt;- Solver-selected","")))</f>
        <v/>
      </c>
    </row>
    <row r="63" ht="15" customHeight="1" s="35">
      <c r="A63" s="56">
        <f>ROW()-39</f>
        <v/>
      </c>
      <c r="B63" s="52">
        <f>IF(A63&lt;=Carrot_Bed_Cap,A63*Carrrot_Hours*Season*(1+Carrot_Dim_Return)^A63,"")</f>
        <v/>
      </c>
      <c r="C63" s="52">
        <f>IF(A63&lt;=Carrot_Bed_Cap,B63-IF(ISNUMBER(B62),B62,0),"")</f>
        <v/>
      </c>
      <c r="D63" s="57">
        <f>IF(A63&lt;=Carrot_Bed_Cap,Carrot_Price,"")</f>
        <v/>
      </c>
      <c r="E63" s="57">
        <f>IF(A63&lt;=Carrot_Bed_Cap,Carrot_Fertilizer,"")</f>
        <v/>
      </c>
      <c r="F63" s="57">
        <f>IF(A63&lt;=Carrot_Bed_Cap,C63*Blended_Labor_Rate,"")</f>
        <v/>
      </c>
      <c r="G63" s="57">
        <f>IF(A63&lt;=Carrot_Bed_Cap,D63-E63-F63,"")</f>
        <v/>
      </c>
      <c r="H63" s="57">
        <f>IF(A63&lt;=Carrot_Bed_Cap,IF(ISNUMBER(H62),H62,0)+G63,"")</f>
        <v/>
      </c>
      <c r="I63" s="51">
        <f>IF(AND(AND(ISNUMBER(G63),G63&lt;0,ISNUMBER(G62),G62&gt;=0),(A63=Carrot_Beds)),"&lt;- Cross-over &amp; Solver-selected",IF(AND(ISNUMBER(G63),G63&lt;0,ISNUMBER(G62),G62&gt;=0),"&lt;- Cross-over (next bed unprofitable)",IF((A63=Carrot_Beds),"&lt;- Solver-selected","")))</f>
        <v/>
      </c>
    </row>
    <row r="64" ht="15" customHeight="1" s="35">
      <c r="A64" s="56">
        <f>ROW()-39</f>
        <v/>
      </c>
      <c r="B64" s="52">
        <f>IF(A64&lt;=Carrot_Bed_Cap,A64*Carrrot_Hours*Season*(1+Carrot_Dim_Return)^A64,"")</f>
        <v/>
      </c>
      <c r="C64" s="52">
        <f>IF(A64&lt;=Carrot_Bed_Cap,B64-IF(ISNUMBER(B63),B63,0),"")</f>
        <v/>
      </c>
      <c r="D64" s="57">
        <f>IF(A64&lt;=Carrot_Bed_Cap,Carrot_Price,"")</f>
        <v/>
      </c>
      <c r="E64" s="57">
        <f>IF(A64&lt;=Carrot_Bed_Cap,Carrot_Fertilizer,"")</f>
        <v/>
      </c>
      <c r="F64" s="57">
        <f>IF(A64&lt;=Carrot_Bed_Cap,C64*Blended_Labor_Rate,"")</f>
        <v/>
      </c>
      <c r="G64" s="57">
        <f>IF(A64&lt;=Carrot_Bed_Cap,D64-E64-F64,"")</f>
        <v/>
      </c>
      <c r="H64" s="57">
        <f>IF(A64&lt;=Carrot_Bed_Cap,IF(ISNUMBER(H63),H63,0)+G64,"")</f>
        <v/>
      </c>
      <c r="I64" s="51">
        <f>IF(AND(AND(ISNUMBER(G64),G64&lt;0,ISNUMBER(G63),G63&gt;=0),(A64=Carrot_Beds)),"&lt;- Cross-over &amp; Solver-selected",IF(AND(ISNUMBER(G64),G64&lt;0,ISNUMBER(G63),G63&gt;=0),"&lt;- Cross-over (next bed unprofitable)",IF((A64=Carrot_Beds),"&lt;- Solver-selected","")))</f>
        <v/>
      </c>
    </row>
    <row r="65" ht="15" customHeight="1" s="35">
      <c r="A65" s="56">
        <f>ROW()-39</f>
        <v/>
      </c>
      <c r="B65" s="52">
        <f>IF(A65&lt;=Carrot_Bed_Cap,A65*Carrrot_Hours*Season*(1+Carrot_Dim_Return)^A65,"")</f>
        <v/>
      </c>
      <c r="C65" s="52">
        <f>IF(A65&lt;=Carrot_Bed_Cap,B65-IF(ISNUMBER(B64),B64,0),"")</f>
        <v/>
      </c>
      <c r="D65" s="57">
        <f>IF(A65&lt;=Carrot_Bed_Cap,Carrot_Price,"")</f>
        <v/>
      </c>
      <c r="E65" s="57">
        <f>IF(A65&lt;=Carrot_Bed_Cap,Carrot_Fertilizer,"")</f>
        <v/>
      </c>
      <c r="F65" s="57">
        <f>IF(A65&lt;=Carrot_Bed_Cap,C65*Blended_Labor_Rate,"")</f>
        <v/>
      </c>
      <c r="G65" s="57">
        <f>IF(A65&lt;=Carrot_Bed_Cap,D65-E65-F65,"")</f>
        <v/>
      </c>
      <c r="H65" s="57">
        <f>IF(A65&lt;=Carrot_Bed_Cap,IF(ISNUMBER(H64),H64,0)+G65,"")</f>
        <v/>
      </c>
      <c r="I65" s="51">
        <f>IF(AND(AND(ISNUMBER(G65),G65&lt;0,ISNUMBER(G64),G64&gt;=0),(A65=Carrot_Beds)),"&lt;- Cross-over &amp; Solver-selected",IF(AND(ISNUMBER(G65),G65&lt;0,ISNUMBER(G64),G64&gt;=0),"&lt;- Cross-over (next bed unprofitable)",IF((A65=Carrot_Beds),"&lt;- Solver-selected","")))</f>
        <v/>
      </c>
    </row>
    <row r="66" ht="15" customHeight="1" s="35">
      <c r="A66" s="56">
        <f>ROW()-39</f>
        <v/>
      </c>
      <c r="B66" s="52">
        <f>IF(A66&lt;=Carrot_Bed_Cap,A66*Carrrot_Hours*Season*(1+Carrot_Dim_Return)^A66,"")</f>
        <v/>
      </c>
      <c r="C66" s="52">
        <f>IF(A66&lt;=Carrot_Bed_Cap,B66-IF(ISNUMBER(B65),B65,0),"")</f>
        <v/>
      </c>
      <c r="D66" s="57">
        <f>IF(A66&lt;=Carrot_Bed_Cap,Carrot_Price,"")</f>
        <v/>
      </c>
      <c r="E66" s="57">
        <f>IF(A66&lt;=Carrot_Bed_Cap,Carrot_Fertilizer,"")</f>
        <v/>
      </c>
      <c r="F66" s="57">
        <f>IF(A66&lt;=Carrot_Bed_Cap,C66*Blended_Labor_Rate,"")</f>
        <v/>
      </c>
      <c r="G66" s="57">
        <f>IF(A66&lt;=Carrot_Bed_Cap,D66-E66-F66,"")</f>
        <v/>
      </c>
      <c r="H66" s="57">
        <f>IF(A66&lt;=Carrot_Bed_Cap,IF(ISNUMBER(H65),H65,0)+G66,"")</f>
        <v/>
      </c>
      <c r="I66" s="51">
        <f>IF(AND(AND(ISNUMBER(G66),G66&lt;0,ISNUMBER(G65),G65&gt;=0),(A66=Carrot_Beds)),"&lt;- Cross-over &amp; Solver-selected",IF(AND(ISNUMBER(G66),G66&lt;0,ISNUMBER(G65),G65&gt;=0),"&lt;- Cross-over (next bed unprofitable)",IF((A66=Carrot_Beds),"&lt;- Solver-selected","")))</f>
        <v/>
      </c>
    </row>
    <row r="67" ht="15" customHeight="1" s="35">
      <c r="A67" s="56">
        <f>ROW()-39</f>
        <v/>
      </c>
      <c r="B67" s="52">
        <f>IF(A67&lt;=Carrot_Bed_Cap,A67*Carrrot_Hours*Season*(1+Carrot_Dim_Return)^A67,"")</f>
        <v/>
      </c>
      <c r="C67" s="52">
        <f>IF(A67&lt;=Carrot_Bed_Cap,B67-IF(ISNUMBER(B66),B66,0),"")</f>
        <v/>
      </c>
      <c r="D67" s="57">
        <f>IF(A67&lt;=Carrot_Bed_Cap,Carrot_Price,"")</f>
        <v/>
      </c>
      <c r="E67" s="57">
        <f>IF(A67&lt;=Carrot_Bed_Cap,Carrot_Fertilizer,"")</f>
        <v/>
      </c>
      <c r="F67" s="57">
        <f>IF(A67&lt;=Carrot_Bed_Cap,C67*Blended_Labor_Rate,"")</f>
        <v/>
      </c>
      <c r="G67" s="57">
        <f>IF(A67&lt;=Carrot_Bed_Cap,D67-E67-F67,"")</f>
        <v/>
      </c>
      <c r="H67" s="57">
        <f>IF(A67&lt;=Carrot_Bed_Cap,IF(ISNUMBER(H66),H66,0)+G67,"")</f>
        <v/>
      </c>
      <c r="I67" s="51">
        <f>IF(AND(AND(ISNUMBER(G67),G67&lt;0,ISNUMBER(G66),G66&gt;=0),(A67=Carrot_Beds)),"&lt;- Cross-over &amp; Solver-selected",IF(AND(ISNUMBER(G67),G67&lt;0,ISNUMBER(G66),G66&gt;=0),"&lt;- Cross-over (next bed unprofitable)",IF((A67=Carrot_Beds),"&lt;- Solver-selected","")))</f>
        <v/>
      </c>
    </row>
    <row r="68" ht="15" customHeight="1" s="35">
      <c r="A68" s="56">
        <f>ROW()-39</f>
        <v/>
      </c>
      <c r="B68" s="52">
        <f>IF(A68&lt;=Carrot_Bed_Cap,A68*Carrrot_Hours*Season*(1+Carrot_Dim_Return)^A68,"")</f>
        <v/>
      </c>
      <c r="C68" s="52">
        <f>IF(A68&lt;=Carrot_Bed_Cap,B68-IF(ISNUMBER(B67),B67,0),"")</f>
        <v/>
      </c>
      <c r="D68" s="57">
        <f>IF(A68&lt;=Carrot_Bed_Cap,Carrot_Price,"")</f>
        <v/>
      </c>
      <c r="E68" s="57">
        <f>IF(A68&lt;=Carrot_Bed_Cap,Carrot_Fertilizer,"")</f>
        <v/>
      </c>
      <c r="F68" s="57">
        <f>IF(A68&lt;=Carrot_Bed_Cap,C68*Blended_Labor_Rate,"")</f>
        <v/>
      </c>
      <c r="G68" s="57">
        <f>IF(A68&lt;=Carrot_Bed_Cap,D68-E68-F68,"")</f>
        <v/>
      </c>
      <c r="H68" s="57">
        <f>IF(A68&lt;=Carrot_Bed_Cap,IF(ISNUMBER(H67),H67,0)+G68,"")</f>
        <v/>
      </c>
      <c r="I68" s="51">
        <f>IF(AND(AND(ISNUMBER(G68),G68&lt;0,ISNUMBER(G67),G67&gt;=0),(A68=Carrot_Beds)),"&lt;- Cross-over &amp; Solver-selected",IF(AND(ISNUMBER(G68),G68&lt;0,ISNUMBER(G67),G67&gt;=0),"&lt;- Cross-over (next bed unprofitable)",IF((A68=Carrot_Beds),"&lt;- Solver-selected","")))</f>
        <v/>
      </c>
    </row>
    <row r="69" ht="15" customHeight="1" s="35">
      <c r="A69" s="56">
        <f>ROW()-39</f>
        <v/>
      </c>
      <c r="B69" s="52">
        <f>IF(A69&lt;=Carrot_Bed_Cap,A69*Carrrot_Hours*Season*(1+Carrot_Dim_Return)^A69,"")</f>
        <v/>
      </c>
      <c r="C69" s="52">
        <f>IF(A69&lt;=Carrot_Bed_Cap,B69-IF(ISNUMBER(B68),B68,0),"")</f>
        <v/>
      </c>
      <c r="D69" s="57">
        <f>IF(A69&lt;=Carrot_Bed_Cap,Carrot_Price,"")</f>
        <v/>
      </c>
      <c r="E69" s="57">
        <f>IF(A69&lt;=Carrot_Bed_Cap,Carrot_Fertilizer,"")</f>
        <v/>
      </c>
      <c r="F69" s="57">
        <f>IF(A69&lt;=Carrot_Bed_Cap,C69*Blended_Labor_Rate,"")</f>
        <v/>
      </c>
      <c r="G69" s="57">
        <f>IF(A69&lt;=Carrot_Bed_Cap,D69-E69-F69,"")</f>
        <v/>
      </c>
      <c r="H69" s="57">
        <f>IF(A69&lt;=Carrot_Bed_Cap,IF(ISNUMBER(H68),H68,0)+G69,"")</f>
        <v/>
      </c>
      <c r="I69" s="51">
        <f>IF(AND(AND(ISNUMBER(G69),G69&lt;0,ISNUMBER(G68),G68&gt;=0),(A69=Carrot_Beds)),"&lt;- Cross-over &amp; Solver-selected",IF(AND(ISNUMBER(G69),G69&lt;0,ISNUMBER(G68),G68&gt;=0),"&lt;- Cross-over (next bed unprofitable)",IF((A69=Carrot_Beds),"&lt;- Solver-selected","")))</f>
        <v/>
      </c>
    </row>
    <row r="72" ht="15" customHeight="1" s="35">
      <c r="A72" s="38" t="inlineStr">
        <is>
          <t>Mesclun</t>
        </is>
      </c>
    </row>
    <row r="73" ht="51.75" customHeight="1" s="35">
      <c r="A73" s="39" t="inlineStr">
        <is>
          <t>Beds Planted (q)</t>
        </is>
      </c>
      <c r="B73" s="39" t="inlineStr">
        <is>
          <t>Cumulative Labor Hours (hrs)</t>
        </is>
      </c>
      <c r="C73" s="39" t="inlineStr">
        <is>
          <t>Marginal Labor Hours (hrs)</t>
        </is>
      </c>
      <c r="D73" s="39" t="inlineStr">
        <is>
          <t>Marginal Revenue ($)</t>
        </is>
      </c>
      <c r="E73" s="39" t="inlineStr">
        <is>
          <t>Marginal Fertilizer Cost ($)</t>
        </is>
      </c>
      <c r="F73" s="39" t="inlineStr">
        <is>
          <t>Marginal Labor Cost ($, marginal rate)</t>
        </is>
      </c>
      <c r="G73" s="39" t="inlineStr">
        <is>
          <t>Marginal Profit ($)</t>
        </is>
      </c>
      <c r="H73" s="39" t="inlineStr">
        <is>
          <t>Cumulative Profit ($)</t>
        </is>
      </c>
      <c r="I73" s="39" t="inlineStr">
        <is>
          <t>Notes</t>
        </is>
      </c>
    </row>
    <row r="74" ht="15" customHeight="1" s="35">
      <c r="A74" s="56">
        <f>ROW()-73</f>
        <v/>
      </c>
      <c r="B74" s="52">
        <f>IF(A74&lt;=Mesclun_Bed_Cap,A74*Mesclun_Hours*Season*(1+Mesclun_Dim_Return)^A74,"")</f>
        <v/>
      </c>
      <c r="C74" s="52">
        <f>IF(A74&lt;=Mesclun_Bed_Cap,B74,"")</f>
        <v/>
      </c>
      <c r="D74" s="57">
        <f>IF(A74&lt;=Mesclun_Bed_Cap,Mesclun_Price,"")</f>
        <v/>
      </c>
      <c r="E74" s="57">
        <f>IF(A74&lt;=Mesclun_Bed_Cap,Mesclun_Fertilizer,"")</f>
        <v/>
      </c>
      <c r="F74" s="57">
        <f>IF(A74&lt;=Mesclun_Bed_Cap,MAX(0,MIN((Tomato_Beds*Tomato_Hours*Season*(1+Tomato_Dim_Return)^Tomato_Beds+Carrot_Beds*Carrrot_Hours*Season*(1+Carrot_Dim_Return)^Carrot_Beds)+B74,Farmer_Hours)-MIN((Tomato_Beds*Tomato_Hours*Season*(1+Tomato_Dim_Return)^Tomato_Beds+Carrot_Beds*Carrrot_Hours*Season*(1+Carrot_Dim_Return)^Carrot_Beds)+IF(ISNUMBER(B73),B73,0),Farmer_Hours))*Farmer_Cost+(C74-MAX(0,MIN((Tomato_Beds*Tomato_Hours*Season*(1+Tomato_Dim_Return)^Tomato_Beds+Carrot_Beds*Carrrot_Hours*Season*(1+Carrot_Dim_Return)^Carrot_Beds)+B74,Farmer_Hours)-MIN((Tomato_Beds*Tomato_Hours*Season*(1+Tomato_Dim_Return)^Tomato_Beds+Carrot_Beds*Carrrot_Hours*Season*(1+Carrot_Dim_Return)^Carrot_Beds)+IF(ISNUMBER(B73),B73,0),Farmer_Hours)))*Temp_Worker_Cost,"")</f>
        <v/>
      </c>
      <c r="G74" s="57">
        <f>IF(A74&lt;=Mesclun_Bed_Cap,D74-E74-F74,"")</f>
        <v/>
      </c>
      <c r="H74" s="57">
        <f>IF(A74&lt;=Mesclun_Bed_Cap,G74,"")</f>
        <v/>
      </c>
      <c r="I74" s="51">
        <f>IF((A74=Mesclun_Beds),"&lt;- Solver-selected","")</f>
        <v/>
      </c>
    </row>
    <row r="75" ht="15" customHeight="1" s="35">
      <c r="A75" s="56">
        <f>ROW()-73</f>
        <v/>
      </c>
      <c r="B75" s="52">
        <f>IF(A75&lt;=Mesclun_Bed_Cap,A75*Mesclun_Hours*Season*(1+Mesclun_Dim_Return)^A75,"")</f>
        <v/>
      </c>
      <c r="C75" s="52">
        <f>IF(A75&lt;=Mesclun_Bed_Cap,B75-IF(ISNUMBER(B74),B74,0),"")</f>
        <v/>
      </c>
      <c r="D75" s="57">
        <f>IF(A75&lt;=Mesclun_Bed_Cap,Mesclun_Price,"")</f>
        <v/>
      </c>
      <c r="E75" s="57">
        <f>IF(A75&lt;=Mesclun_Bed_Cap,Mesclun_Fertilizer,"")</f>
        <v/>
      </c>
      <c r="F75" s="57">
        <f>IF(A75&lt;=Mesclun_Bed_Cap,MAX(0,MIN((Tomato_Beds*Tomato_Hours*Season*(1+Tomato_Dim_Return)^Tomato_Beds+Carrot_Beds*Carrrot_Hours*Season*(1+Carrot_Dim_Return)^Carrot_Beds)+B75,Farmer_Hours)-MIN((Tomato_Beds*Tomato_Hours*Season*(1+Tomato_Dim_Return)^Tomato_Beds+Carrot_Beds*Carrrot_Hours*Season*(1+Carrot_Dim_Return)^Carrot_Beds)+IF(ISNUMBER(B74),B74,0),Farmer_Hours))*Farmer_Cost+(C75-MAX(0,MIN((Tomato_Beds*Tomato_Hours*Season*(1+Tomato_Dim_Return)^Tomato_Beds+Carrot_Beds*Carrrot_Hours*Season*(1+Carrot_Dim_Return)^Carrot_Beds)+B75,Farmer_Hours)-MIN((Tomato_Beds*Tomato_Hours*Season*(1+Tomato_Dim_Return)^Tomato_Beds+Carrot_Beds*Carrrot_Hours*Season*(1+Carrot_Dim_Return)^Carrot_Beds)+IF(ISNUMBER(B74),B74,0),Farmer_Hours)))*Temp_Worker_Cost,"")</f>
        <v/>
      </c>
      <c r="G75" s="57">
        <f>IF(A75&lt;=Mesclun_Bed_Cap,D75-E75-F75,"")</f>
        <v/>
      </c>
      <c r="H75" s="57">
        <f>IF(A75&lt;=Mesclun_Bed_Cap,IF(ISNUMBER(H74),H74,0)+G75,"")</f>
        <v/>
      </c>
      <c r="I75" s="51">
        <f>IF(AND(AND(ISNUMBER(G75),G75&lt;0,ISNUMBER(G74),G74&gt;=0),(A75=Mesclun_Beds)),"&lt;- Cross-over &amp; Solver-selected",IF(AND(ISNUMBER(G75),G75&lt;0,ISNUMBER(G74),G74&gt;=0),"&lt;- Cross-over (next bed unprofitable)",IF((A75=Mesclun_Beds),"&lt;- Solver-selected","")))</f>
        <v/>
      </c>
    </row>
    <row r="76" ht="15" customHeight="1" s="35">
      <c r="A76" s="56">
        <f>ROW()-73</f>
        <v/>
      </c>
      <c r="B76" s="52">
        <f>IF(A76&lt;=Mesclun_Bed_Cap,A76*Mesclun_Hours*Season*(1+Mesclun_Dim_Return)^A76,"")</f>
        <v/>
      </c>
      <c r="C76" s="52">
        <f>IF(A76&lt;=Mesclun_Bed_Cap,B76-IF(ISNUMBER(B75),B75,0),"")</f>
        <v/>
      </c>
      <c r="D76" s="57">
        <f>IF(A76&lt;=Mesclun_Bed_Cap,Mesclun_Price,"")</f>
        <v/>
      </c>
      <c r="E76" s="57">
        <f>IF(A76&lt;=Mesclun_Bed_Cap,Mesclun_Fertilizer,"")</f>
        <v/>
      </c>
      <c r="F76" s="57">
        <f>IF(A76&lt;=Mesclun_Bed_Cap,MAX(0,MIN((Tomato_Beds*Tomato_Hours*Season*(1+Tomato_Dim_Return)^Tomato_Beds+Carrot_Beds*Carrrot_Hours*Season*(1+Carrot_Dim_Return)^Carrot_Beds)+B76,Farmer_Hours)-MIN((Tomato_Beds*Tomato_Hours*Season*(1+Tomato_Dim_Return)^Tomato_Beds+Carrot_Beds*Carrrot_Hours*Season*(1+Carrot_Dim_Return)^Carrot_Beds)+IF(ISNUMBER(B75),B75,0),Farmer_Hours))*Farmer_Cost+(C76-MAX(0,MIN((Tomato_Beds*Tomato_Hours*Season*(1+Tomato_Dim_Return)^Tomato_Beds+Carrot_Beds*Carrrot_Hours*Season*(1+Carrot_Dim_Return)^Carrot_Beds)+B76,Farmer_Hours)-MIN((Tomato_Beds*Tomato_Hours*Season*(1+Tomato_Dim_Return)^Tomato_Beds+Carrot_Beds*Carrrot_Hours*Season*(1+Carrot_Dim_Return)^Carrot_Beds)+IF(ISNUMBER(B75),B75,0),Farmer_Hours)))*Temp_Worker_Cost,"")</f>
        <v/>
      </c>
      <c r="G76" s="57">
        <f>IF(A76&lt;=Mesclun_Bed_Cap,D76-E76-F76,"")</f>
        <v/>
      </c>
      <c r="H76" s="57">
        <f>IF(A76&lt;=Mesclun_Bed_Cap,IF(ISNUMBER(H75),H75,0)+G76,"")</f>
        <v/>
      </c>
      <c r="I76" s="51">
        <f>IF(AND(AND(ISNUMBER(G76),G76&lt;0,ISNUMBER(G75),G75&gt;=0),(A76=Mesclun_Beds)),"&lt;- Cross-over &amp; Solver-selected",IF(AND(ISNUMBER(G76),G76&lt;0,ISNUMBER(G75),G75&gt;=0),"&lt;- Cross-over (next bed unprofitable)",IF((A76=Mesclun_Beds),"&lt;- Solver-selected","")))</f>
        <v/>
      </c>
    </row>
    <row r="77" ht="15" customHeight="1" s="35">
      <c r="A77" s="56">
        <f>ROW()-73</f>
        <v/>
      </c>
      <c r="B77" s="52">
        <f>IF(A77&lt;=Mesclun_Bed_Cap,A77*Mesclun_Hours*Season*(1+Mesclun_Dim_Return)^A77,"")</f>
        <v/>
      </c>
      <c r="C77" s="52">
        <f>IF(A77&lt;=Mesclun_Bed_Cap,B77-IF(ISNUMBER(B76),B76,0),"")</f>
        <v/>
      </c>
      <c r="D77" s="57">
        <f>IF(A77&lt;=Mesclun_Bed_Cap,Mesclun_Price,"")</f>
        <v/>
      </c>
      <c r="E77" s="57">
        <f>IF(A77&lt;=Mesclun_Bed_Cap,Mesclun_Fertilizer,"")</f>
        <v/>
      </c>
      <c r="F77" s="57">
        <f>IF(A77&lt;=Mesclun_Bed_Cap,MAX(0,MIN((Tomato_Beds*Tomato_Hours*Season*(1+Tomato_Dim_Return)^Tomato_Beds+Carrot_Beds*Carrrot_Hours*Season*(1+Carrot_Dim_Return)^Carrot_Beds)+B77,Farmer_Hours)-MIN((Tomato_Beds*Tomato_Hours*Season*(1+Tomato_Dim_Return)^Tomato_Beds+Carrot_Beds*Carrrot_Hours*Season*(1+Carrot_Dim_Return)^Carrot_Beds)+IF(ISNUMBER(B76),B76,0),Farmer_Hours))*Farmer_Cost+(C77-MAX(0,MIN((Tomato_Beds*Tomato_Hours*Season*(1+Tomato_Dim_Return)^Tomato_Beds+Carrot_Beds*Carrrot_Hours*Season*(1+Carrot_Dim_Return)^Carrot_Beds)+B77,Farmer_Hours)-MIN((Tomato_Beds*Tomato_Hours*Season*(1+Tomato_Dim_Return)^Tomato_Beds+Carrot_Beds*Carrrot_Hours*Season*(1+Carrot_Dim_Return)^Carrot_Beds)+IF(ISNUMBER(B76),B76,0),Farmer_Hours)))*Temp_Worker_Cost,"")</f>
        <v/>
      </c>
      <c r="G77" s="57">
        <f>IF(A77&lt;=Mesclun_Bed_Cap,D77-E77-F77,"")</f>
        <v/>
      </c>
      <c r="H77" s="57">
        <f>IF(A77&lt;=Mesclun_Bed_Cap,IF(ISNUMBER(H76),H76,0)+G77,"")</f>
        <v/>
      </c>
      <c r="I77" s="51">
        <f>IF(AND(AND(ISNUMBER(G77),G77&lt;0,ISNUMBER(G76),G76&gt;=0),(A77=Mesclun_Beds)),"&lt;- Cross-over &amp; Solver-selected",IF(AND(ISNUMBER(G77),G77&lt;0,ISNUMBER(G76),G76&gt;=0),"&lt;- Cross-over (next bed unprofitable)",IF((A77=Mesclun_Beds),"&lt;- Solver-selected","")))</f>
        <v/>
      </c>
    </row>
    <row r="78" ht="15" customHeight="1" s="35">
      <c r="A78" s="56">
        <f>ROW()-73</f>
        <v/>
      </c>
      <c r="B78" s="52">
        <f>IF(A78&lt;=Mesclun_Bed_Cap,A78*Mesclun_Hours*Season*(1+Mesclun_Dim_Return)^A78,"")</f>
        <v/>
      </c>
      <c r="C78" s="52">
        <f>IF(A78&lt;=Mesclun_Bed_Cap,B78-IF(ISNUMBER(B77),B77,0),"")</f>
        <v/>
      </c>
      <c r="D78" s="57">
        <f>IF(A78&lt;=Mesclun_Bed_Cap,Mesclun_Price,"")</f>
        <v/>
      </c>
      <c r="E78" s="57">
        <f>IF(A78&lt;=Mesclun_Bed_Cap,Mesclun_Fertilizer,"")</f>
        <v/>
      </c>
      <c r="F78" s="57">
        <f>IF(A78&lt;=Mesclun_Bed_Cap,MAX(0,MIN((Tomato_Beds*Tomato_Hours*Season*(1+Tomato_Dim_Return)^Tomato_Beds+Carrot_Beds*Carrrot_Hours*Season*(1+Carrot_Dim_Return)^Carrot_Beds)+B78,Farmer_Hours)-MIN((Tomato_Beds*Tomato_Hours*Season*(1+Tomato_Dim_Return)^Tomato_Beds+Carrot_Beds*Carrrot_Hours*Season*(1+Carrot_Dim_Return)^Carrot_Beds)+IF(ISNUMBER(B77),B77,0),Farmer_Hours))*Farmer_Cost+(C78-MAX(0,MIN((Tomato_Beds*Tomato_Hours*Season*(1+Tomato_Dim_Return)^Tomato_Beds+Carrot_Beds*Carrrot_Hours*Season*(1+Carrot_Dim_Return)^Carrot_Beds)+B78,Farmer_Hours)-MIN((Tomato_Beds*Tomato_Hours*Season*(1+Tomato_Dim_Return)^Tomato_Beds+Carrot_Beds*Carrrot_Hours*Season*(1+Carrot_Dim_Return)^Carrot_Beds)+IF(ISNUMBER(B77),B77,0),Farmer_Hours)))*Temp_Worker_Cost,"")</f>
        <v/>
      </c>
      <c r="G78" s="57">
        <f>IF(A78&lt;=Mesclun_Bed_Cap,D78-E78-F78,"")</f>
        <v/>
      </c>
      <c r="H78" s="57">
        <f>IF(A78&lt;=Mesclun_Bed_Cap,IF(ISNUMBER(H77),H77,0)+G78,"")</f>
        <v/>
      </c>
      <c r="I78" s="51">
        <f>IF(AND(AND(ISNUMBER(G78),G78&lt;0,ISNUMBER(G77),G77&gt;=0),(A78=Mesclun_Beds)),"&lt;- Cross-over &amp; Solver-selected",IF(AND(ISNUMBER(G78),G78&lt;0,ISNUMBER(G77),G77&gt;=0),"&lt;- Cross-over (next bed unprofitable)",IF((A78=Mesclun_Beds),"&lt;- Solver-selected","")))</f>
        <v/>
      </c>
    </row>
    <row r="79" ht="15" customHeight="1" s="35">
      <c r="A79" s="56">
        <f>ROW()-73</f>
        <v/>
      </c>
      <c r="B79" s="52">
        <f>IF(A79&lt;=Mesclun_Bed_Cap,A79*Mesclun_Hours*Season*(1+Mesclun_Dim_Return)^A79,"")</f>
        <v/>
      </c>
      <c r="C79" s="52">
        <f>IF(A79&lt;=Mesclun_Bed_Cap,B79-IF(ISNUMBER(B78),B78,0),"")</f>
        <v/>
      </c>
      <c r="D79" s="57">
        <f>IF(A79&lt;=Mesclun_Bed_Cap,Mesclun_Price,"")</f>
        <v/>
      </c>
      <c r="E79" s="57">
        <f>IF(A79&lt;=Mesclun_Bed_Cap,Mesclun_Fertilizer,"")</f>
        <v/>
      </c>
      <c r="F79" s="57">
        <f>IF(A79&lt;=Mesclun_Bed_Cap,MAX(0,MIN((Tomato_Beds*Tomato_Hours*Season*(1+Tomato_Dim_Return)^Tomato_Beds+Carrot_Beds*Carrrot_Hours*Season*(1+Carrot_Dim_Return)^Carrot_Beds)+B79,Farmer_Hours)-MIN((Tomato_Beds*Tomato_Hours*Season*(1+Tomato_Dim_Return)^Tomato_Beds+Carrot_Beds*Carrrot_Hours*Season*(1+Carrot_Dim_Return)^Carrot_Beds)+IF(ISNUMBER(B78),B78,0),Farmer_Hours))*Farmer_Cost+(C79-MAX(0,MIN((Tomato_Beds*Tomato_Hours*Season*(1+Tomato_Dim_Return)^Tomato_Beds+Carrot_Beds*Carrrot_Hours*Season*(1+Carrot_Dim_Return)^Carrot_Beds)+B79,Farmer_Hours)-MIN((Tomato_Beds*Tomato_Hours*Season*(1+Tomato_Dim_Return)^Tomato_Beds+Carrot_Beds*Carrrot_Hours*Season*(1+Carrot_Dim_Return)^Carrot_Beds)+IF(ISNUMBER(B78),B78,0),Farmer_Hours)))*Temp_Worker_Cost,"")</f>
        <v/>
      </c>
      <c r="G79" s="57">
        <f>IF(A79&lt;=Mesclun_Bed_Cap,D79-E79-F79,"")</f>
        <v/>
      </c>
      <c r="H79" s="57">
        <f>IF(A79&lt;=Mesclun_Bed_Cap,IF(ISNUMBER(H78),H78,0)+G79,"")</f>
        <v/>
      </c>
      <c r="I79" s="51">
        <f>IF(AND(AND(ISNUMBER(G79),G79&lt;0,ISNUMBER(G78),G78&gt;=0),(A79=Mesclun_Beds)),"&lt;- Cross-over &amp; Solver-selected",IF(AND(ISNUMBER(G79),G79&lt;0,ISNUMBER(G78),G78&gt;=0),"&lt;- Cross-over (next bed unprofitable)",IF((A79=Mesclun_Beds),"&lt;- Solver-selected","")))</f>
        <v/>
      </c>
    </row>
    <row r="80" ht="15" customHeight="1" s="35">
      <c r="A80" s="56">
        <f>ROW()-73</f>
        <v/>
      </c>
      <c r="B80" s="52">
        <f>IF(A80&lt;=Mesclun_Bed_Cap,A80*Mesclun_Hours*Season*(1+Mesclun_Dim_Return)^A80,"")</f>
        <v/>
      </c>
      <c r="C80" s="52">
        <f>IF(A80&lt;=Mesclun_Bed_Cap,B80-IF(ISNUMBER(B79),B79,0),"")</f>
        <v/>
      </c>
      <c r="D80" s="57">
        <f>IF(A80&lt;=Mesclun_Bed_Cap,Mesclun_Price,"")</f>
        <v/>
      </c>
      <c r="E80" s="57">
        <f>IF(A80&lt;=Mesclun_Bed_Cap,Mesclun_Fertilizer,"")</f>
        <v/>
      </c>
      <c r="F80" s="57">
        <f>IF(A80&lt;=Mesclun_Bed_Cap,MAX(0,MIN((Tomato_Beds*Tomato_Hours*Season*(1+Tomato_Dim_Return)^Tomato_Beds+Carrot_Beds*Carrrot_Hours*Season*(1+Carrot_Dim_Return)^Carrot_Beds)+B80,Farmer_Hours)-MIN((Tomato_Beds*Tomato_Hours*Season*(1+Tomato_Dim_Return)^Tomato_Beds+Carrot_Beds*Carrrot_Hours*Season*(1+Carrot_Dim_Return)^Carrot_Beds)+IF(ISNUMBER(B79),B79,0),Farmer_Hours))*Farmer_Cost+(C80-MAX(0,MIN((Tomato_Beds*Tomato_Hours*Season*(1+Tomato_Dim_Return)^Tomato_Beds+Carrot_Beds*Carrrot_Hours*Season*(1+Carrot_Dim_Return)^Carrot_Beds)+B80,Farmer_Hours)-MIN((Tomato_Beds*Tomato_Hours*Season*(1+Tomato_Dim_Return)^Tomato_Beds+Carrot_Beds*Carrrot_Hours*Season*(1+Carrot_Dim_Return)^Carrot_Beds)+IF(ISNUMBER(B79),B79,0),Farmer_Hours)))*Temp_Worker_Cost,"")</f>
        <v/>
      </c>
      <c r="G80" s="57">
        <f>IF(A80&lt;=Mesclun_Bed_Cap,D80-E80-F80,"")</f>
        <v/>
      </c>
      <c r="H80" s="57">
        <f>IF(A80&lt;=Mesclun_Bed_Cap,IF(ISNUMBER(H79),H79,0)+G80,"")</f>
        <v/>
      </c>
      <c r="I80" s="51">
        <f>IF(AND(AND(ISNUMBER(G80),G80&lt;0,ISNUMBER(G79),G79&gt;=0),(A80=Mesclun_Beds)),"&lt;- Cross-over &amp; Solver-selected",IF(AND(ISNUMBER(G80),G80&lt;0,ISNUMBER(G79),G79&gt;=0),"&lt;- Cross-over (next bed unprofitable)",IF((A80=Mesclun_Beds),"&lt;- Solver-selected","")))</f>
        <v/>
      </c>
    </row>
    <row r="81" ht="15" customHeight="1" s="35">
      <c r="A81" s="56">
        <f>ROW()-73</f>
        <v/>
      </c>
      <c r="B81" s="52">
        <f>IF(A81&lt;=Mesclun_Bed_Cap,A81*Mesclun_Hours*Season*(1+Mesclun_Dim_Return)^A81,"")</f>
        <v/>
      </c>
      <c r="C81" s="52">
        <f>IF(A81&lt;=Mesclun_Bed_Cap,B81-IF(ISNUMBER(B80),B80,0),"")</f>
        <v/>
      </c>
      <c r="D81" s="57">
        <f>IF(A81&lt;=Mesclun_Bed_Cap,Mesclun_Price,"")</f>
        <v/>
      </c>
      <c r="E81" s="57">
        <f>IF(A81&lt;=Mesclun_Bed_Cap,Mesclun_Fertilizer,"")</f>
        <v/>
      </c>
      <c r="F81" s="57">
        <f>IF(A81&lt;=Mesclun_Bed_Cap,MAX(0,MIN((Tomato_Beds*Tomato_Hours*Season*(1+Tomato_Dim_Return)^Tomato_Beds+Carrot_Beds*Carrrot_Hours*Season*(1+Carrot_Dim_Return)^Carrot_Beds)+B81,Farmer_Hours)-MIN((Tomato_Beds*Tomato_Hours*Season*(1+Tomato_Dim_Return)^Tomato_Beds+Carrot_Beds*Carrrot_Hours*Season*(1+Carrot_Dim_Return)^Carrot_Beds)+IF(ISNUMBER(B80),B80,0),Farmer_Hours))*Farmer_Cost+(C81-MAX(0,MIN((Tomato_Beds*Tomato_Hours*Season*(1+Tomato_Dim_Return)^Tomato_Beds+Carrot_Beds*Carrrot_Hours*Season*(1+Carrot_Dim_Return)^Carrot_Beds)+B81,Farmer_Hours)-MIN((Tomato_Beds*Tomato_Hours*Season*(1+Tomato_Dim_Return)^Tomato_Beds+Carrot_Beds*Carrrot_Hours*Season*(1+Carrot_Dim_Return)^Carrot_Beds)+IF(ISNUMBER(B80),B80,0),Farmer_Hours)))*Temp_Worker_Cost,"")</f>
        <v/>
      </c>
      <c r="G81" s="57">
        <f>IF(A81&lt;=Mesclun_Bed_Cap,D81-E81-F81,"")</f>
        <v/>
      </c>
      <c r="H81" s="57">
        <f>IF(A81&lt;=Mesclun_Bed_Cap,IF(ISNUMBER(H80),H80,0)+G81,"")</f>
        <v/>
      </c>
      <c r="I81" s="51">
        <f>IF(AND(AND(ISNUMBER(G81),G81&lt;0,ISNUMBER(G80),G80&gt;=0),(A81=Mesclun_Beds)),"&lt;- Cross-over &amp; Solver-selected",IF(AND(ISNUMBER(G81),G81&lt;0,ISNUMBER(G80),G80&gt;=0),"&lt;- Cross-over (next bed unprofitable)",IF((A81=Mesclun_Beds),"&lt;- Solver-selected","")))</f>
        <v/>
      </c>
    </row>
    <row r="82" ht="15" customHeight="1" s="35">
      <c r="A82" s="56">
        <f>ROW()-73</f>
        <v/>
      </c>
      <c r="B82" s="52">
        <f>IF(A82&lt;=Mesclun_Bed_Cap,A82*Mesclun_Hours*Season*(1+Mesclun_Dim_Return)^A82,"")</f>
        <v/>
      </c>
      <c r="C82" s="52">
        <f>IF(A82&lt;=Mesclun_Bed_Cap,B82-IF(ISNUMBER(B81),B81,0),"")</f>
        <v/>
      </c>
      <c r="D82" s="57">
        <f>IF(A82&lt;=Mesclun_Bed_Cap,Mesclun_Price,"")</f>
        <v/>
      </c>
      <c r="E82" s="57">
        <f>IF(A82&lt;=Mesclun_Bed_Cap,Mesclun_Fertilizer,"")</f>
        <v/>
      </c>
      <c r="F82" s="57">
        <f>IF(A82&lt;=Mesclun_Bed_Cap,MAX(0,MIN((Tomato_Beds*Tomato_Hours*Season*(1+Tomato_Dim_Return)^Tomato_Beds+Carrot_Beds*Carrrot_Hours*Season*(1+Carrot_Dim_Return)^Carrot_Beds)+B82,Farmer_Hours)-MIN((Tomato_Beds*Tomato_Hours*Season*(1+Tomato_Dim_Return)^Tomato_Beds+Carrot_Beds*Carrrot_Hours*Season*(1+Carrot_Dim_Return)^Carrot_Beds)+IF(ISNUMBER(B81),B81,0),Farmer_Hours))*Farmer_Cost+(C82-MAX(0,MIN((Tomato_Beds*Tomato_Hours*Season*(1+Tomato_Dim_Return)^Tomato_Beds+Carrot_Beds*Carrrot_Hours*Season*(1+Carrot_Dim_Return)^Carrot_Beds)+B82,Farmer_Hours)-MIN((Tomato_Beds*Tomato_Hours*Season*(1+Tomato_Dim_Return)^Tomato_Beds+Carrot_Beds*Carrrot_Hours*Season*(1+Carrot_Dim_Return)^Carrot_Beds)+IF(ISNUMBER(B81),B81,0),Farmer_Hours)))*Temp_Worker_Cost,"")</f>
        <v/>
      </c>
      <c r="G82" s="57">
        <f>IF(A82&lt;=Mesclun_Bed_Cap,D82-E82-F82,"")</f>
        <v/>
      </c>
      <c r="H82" s="57">
        <f>IF(A82&lt;=Mesclun_Bed_Cap,IF(ISNUMBER(H81),H81,0)+G82,"")</f>
        <v/>
      </c>
      <c r="I82" s="51">
        <f>IF(AND(AND(ISNUMBER(G82),G82&lt;0,ISNUMBER(G81),G81&gt;=0),(A82=Mesclun_Beds)),"&lt;- Cross-over &amp; Solver-selected",IF(AND(ISNUMBER(G82),G82&lt;0,ISNUMBER(G81),G81&gt;=0),"&lt;- Cross-over (next bed unprofitable)",IF((A82=Mesclun_Beds),"&lt;- Solver-selected","")))</f>
        <v/>
      </c>
    </row>
    <row r="83" ht="15" customHeight="1" s="35">
      <c r="A83" s="56">
        <f>ROW()-73</f>
        <v/>
      </c>
      <c r="B83" s="52">
        <f>IF(A83&lt;=Mesclun_Bed_Cap,A83*Mesclun_Hours*Season*(1+Mesclun_Dim_Return)^A83,"")</f>
        <v/>
      </c>
      <c r="C83" s="52">
        <f>IF(A83&lt;=Mesclun_Bed_Cap,B83-IF(ISNUMBER(B82),B82,0),"")</f>
        <v/>
      </c>
      <c r="D83" s="57">
        <f>IF(A83&lt;=Mesclun_Bed_Cap,Mesclun_Price,"")</f>
        <v/>
      </c>
      <c r="E83" s="57">
        <f>IF(A83&lt;=Mesclun_Bed_Cap,Mesclun_Fertilizer,"")</f>
        <v/>
      </c>
      <c r="F83" s="57">
        <f>IF(A83&lt;=Mesclun_Bed_Cap,MAX(0,MIN((Tomato_Beds*Tomato_Hours*Season*(1+Tomato_Dim_Return)^Tomato_Beds+Carrot_Beds*Carrrot_Hours*Season*(1+Carrot_Dim_Return)^Carrot_Beds)+B83,Farmer_Hours)-MIN((Tomato_Beds*Tomato_Hours*Season*(1+Tomato_Dim_Return)^Tomato_Beds+Carrot_Beds*Carrrot_Hours*Season*(1+Carrot_Dim_Return)^Carrot_Beds)+IF(ISNUMBER(B82),B82,0),Farmer_Hours))*Farmer_Cost+(C83-MAX(0,MIN((Tomato_Beds*Tomato_Hours*Season*(1+Tomato_Dim_Return)^Tomato_Beds+Carrot_Beds*Carrrot_Hours*Season*(1+Carrot_Dim_Return)^Carrot_Beds)+B83,Farmer_Hours)-MIN((Tomato_Beds*Tomato_Hours*Season*(1+Tomato_Dim_Return)^Tomato_Beds+Carrot_Beds*Carrrot_Hours*Season*(1+Carrot_Dim_Return)^Carrot_Beds)+IF(ISNUMBER(B82),B82,0),Farmer_Hours)))*Temp_Worker_Cost,"")</f>
        <v/>
      </c>
      <c r="G83" s="57">
        <f>IF(A83&lt;=Mesclun_Bed_Cap,D83-E83-F83,"")</f>
        <v/>
      </c>
      <c r="H83" s="57">
        <f>IF(A83&lt;=Mesclun_Bed_Cap,IF(ISNUMBER(H82),H82,0)+G83,"")</f>
        <v/>
      </c>
      <c r="I83" s="51">
        <f>IF(AND(AND(ISNUMBER(G83),G83&lt;0,ISNUMBER(G82),G82&gt;=0),(A83=Mesclun_Beds)),"&lt;- Cross-over &amp; Solver-selected",IF(AND(ISNUMBER(G83),G83&lt;0,ISNUMBER(G82),G82&gt;=0),"&lt;- Cross-over (next bed unprofitable)",IF((A83=Mesclun_Beds),"&lt;- Solver-selected","")))</f>
        <v/>
      </c>
    </row>
    <row r="84" ht="15" customHeight="1" s="35">
      <c r="A84" s="56">
        <f>ROW()-73</f>
        <v/>
      </c>
      <c r="B84" s="52">
        <f>IF(A84&lt;=Mesclun_Bed_Cap,A84*Mesclun_Hours*Season*(1+Mesclun_Dim_Return)^A84,"")</f>
        <v/>
      </c>
      <c r="C84" s="52">
        <f>IF(A84&lt;=Mesclun_Bed_Cap,B84-IF(ISNUMBER(B83),B83,0),"")</f>
        <v/>
      </c>
      <c r="D84" s="57">
        <f>IF(A84&lt;=Mesclun_Bed_Cap,Mesclun_Price,"")</f>
        <v/>
      </c>
      <c r="E84" s="57">
        <f>IF(A84&lt;=Mesclun_Bed_Cap,Mesclun_Fertilizer,"")</f>
        <v/>
      </c>
      <c r="F84" s="57">
        <f>IF(A84&lt;=Mesclun_Bed_Cap,MAX(0,MIN((Tomato_Beds*Tomato_Hours*Season*(1+Tomato_Dim_Return)^Tomato_Beds+Carrot_Beds*Carrrot_Hours*Season*(1+Carrot_Dim_Return)^Carrot_Beds)+B84,Farmer_Hours)-MIN((Tomato_Beds*Tomato_Hours*Season*(1+Tomato_Dim_Return)^Tomato_Beds+Carrot_Beds*Carrrot_Hours*Season*(1+Carrot_Dim_Return)^Carrot_Beds)+IF(ISNUMBER(B83),B83,0),Farmer_Hours))*Farmer_Cost+(C84-MAX(0,MIN((Tomato_Beds*Tomato_Hours*Season*(1+Tomato_Dim_Return)^Tomato_Beds+Carrot_Beds*Carrrot_Hours*Season*(1+Carrot_Dim_Return)^Carrot_Beds)+B84,Farmer_Hours)-MIN((Tomato_Beds*Tomato_Hours*Season*(1+Tomato_Dim_Return)^Tomato_Beds+Carrot_Beds*Carrrot_Hours*Season*(1+Carrot_Dim_Return)^Carrot_Beds)+IF(ISNUMBER(B83),B83,0),Farmer_Hours)))*Temp_Worker_Cost,"")</f>
        <v/>
      </c>
      <c r="G84" s="57">
        <f>IF(A84&lt;=Mesclun_Bed_Cap,D84-E84-F84,"")</f>
        <v/>
      </c>
      <c r="H84" s="57">
        <f>IF(A84&lt;=Mesclun_Bed_Cap,IF(ISNUMBER(H83),H83,0)+G84,"")</f>
        <v/>
      </c>
      <c r="I84" s="51">
        <f>IF(AND(AND(ISNUMBER(G84),G84&lt;0,ISNUMBER(G83),G83&gt;=0),(A84=Mesclun_Beds)),"&lt;- Cross-over &amp; Solver-selected",IF(AND(ISNUMBER(G84),G84&lt;0,ISNUMBER(G83),G83&gt;=0),"&lt;- Cross-over (next bed unprofitable)",IF((A84=Mesclun_Beds),"&lt;- Solver-selected","")))</f>
        <v/>
      </c>
    </row>
    <row r="85" ht="15" customHeight="1" s="35">
      <c r="A85" s="56">
        <f>ROW()-73</f>
        <v/>
      </c>
      <c r="B85" s="52">
        <f>IF(A85&lt;=Mesclun_Bed_Cap,A85*Mesclun_Hours*Season*(1+Mesclun_Dim_Return)^A85,"")</f>
        <v/>
      </c>
      <c r="C85" s="52">
        <f>IF(A85&lt;=Mesclun_Bed_Cap,B85-IF(ISNUMBER(B84),B84,0),"")</f>
        <v/>
      </c>
      <c r="D85" s="57">
        <f>IF(A85&lt;=Mesclun_Bed_Cap,Mesclun_Price,"")</f>
        <v/>
      </c>
      <c r="E85" s="57">
        <f>IF(A85&lt;=Mesclun_Bed_Cap,Mesclun_Fertilizer,"")</f>
        <v/>
      </c>
      <c r="F85" s="57">
        <f>IF(A85&lt;=Mesclun_Bed_Cap,MAX(0,MIN((Tomato_Beds*Tomato_Hours*Season*(1+Tomato_Dim_Return)^Tomato_Beds+Carrot_Beds*Carrrot_Hours*Season*(1+Carrot_Dim_Return)^Carrot_Beds)+B85,Farmer_Hours)-MIN((Tomato_Beds*Tomato_Hours*Season*(1+Tomato_Dim_Return)^Tomato_Beds+Carrot_Beds*Carrrot_Hours*Season*(1+Carrot_Dim_Return)^Carrot_Beds)+IF(ISNUMBER(B84),B84,0),Farmer_Hours))*Farmer_Cost+(C85-MAX(0,MIN((Tomato_Beds*Tomato_Hours*Season*(1+Tomato_Dim_Return)^Tomato_Beds+Carrot_Beds*Carrrot_Hours*Season*(1+Carrot_Dim_Return)^Carrot_Beds)+B85,Farmer_Hours)-MIN((Tomato_Beds*Tomato_Hours*Season*(1+Tomato_Dim_Return)^Tomato_Beds+Carrot_Beds*Carrrot_Hours*Season*(1+Carrot_Dim_Return)^Carrot_Beds)+IF(ISNUMBER(B84),B84,0),Farmer_Hours)))*Temp_Worker_Cost,"")</f>
        <v/>
      </c>
      <c r="G85" s="57">
        <f>IF(A85&lt;=Mesclun_Bed_Cap,D85-E85-F85,"")</f>
        <v/>
      </c>
      <c r="H85" s="57">
        <f>IF(A85&lt;=Mesclun_Bed_Cap,IF(ISNUMBER(H84),H84,0)+G85,"")</f>
        <v/>
      </c>
      <c r="I85" s="51">
        <f>IF(AND(AND(ISNUMBER(G85),G85&lt;0,ISNUMBER(G84),G84&gt;=0),(A85=Mesclun_Beds)),"&lt;- Cross-over &amp; Solver-selected",IF(AND(ISNUMBER(G85),G85&lt;0,ISNUMBER(G84),G84&gt;=0),"&lt;- Cross-over (next bed unprofitable)",IF((A85=Mesclun_Beds),"&lt;- Solver-selected","")))</f>
        <v/>
      </c>
    </row>
    <row r="86" ht="15" customHeight="1" s="35">
      <c r="A86" s="56">
        <f>ROW()-73</f>
        <v/>
      </c>
      <c r="B86" s="52">
        <f>IF(A86&lt;=Mesclun_Bed_Cap,A86*Mesclun_Hours*Season*(1+Mesclun_Dim_Return)^A86,"")</f>
        <v/>
      </c>
      <c r="C86" s="52">
        <f>IF(A86&lt;=Mesclun_Bed_Cap,B86-IF(ISNUMBER(B85),B85,0),"")</f>
        <v/>
      </c>
      <c r="D86" s="57">
        <f>IF(A86&lt;=Mesclun_Bed_Cap,Mesclun_Price,"")</f>
        <v/>
      </c>
      <c r="E86" s="57">
        <f>IF(A86&lt;=Mesclun_Bed_Cap,Mesclun_Fertilizer,"")</f>
        <v/>
      </c>
      <c r="F86" s="57">
        <f>IF(A86&lt;=Mesclun_Bed_Cap,MAX(0,MIN((Tomato_Beds*Tomato_Hours*Season*(1+Tomato_Dim_Return)^Tomato_Beds+Carrot_Beds*Carrrot_Hours*Season*(1+Carrot_Dim_Return)^Carrot_Beds)+B86,Farmer_Hours)-MIN((Tomato_Beds*Tomato_Hours*Season*(1+Tomato_Dim_Return)^Tomato_Beds+Carrot_Beds*Carrrot_Hours*Season*(1+Carrot_Dim_Return)^Carrot_Beds)+IF(ISNUMBER(B85),B85,0),Farmer_Hours))*Farmer_Cost+(C86-MAX(0,MIN((Tomato_Beds*Tomato_Hours*Season*(1+Tomato_Dim_Return)^Tomato_Beds+Carrot_Beds*Carrrot_Hours*Season*(1+Carrot_Dim_Return)^Carrot_Beds)+B86,Farmer_Hours)-MIN((Tomato_Beds*Tomato_Hours*Season*(1+Tomato_Dim_Return)^Tomato_Beds+Carrot_Beds*Carrrot_Hours*Season*(1+Carrot_Dim_Return)^Carrot_Beds)+IF(ISNUMBER(B85),B85,0),Farmer_Hours)))*Temp_Worker_Cost,"")</f>
        <v/>
      </c>
      <c r="G86" s="57">
        <f>IF(A86&lt;=Mesclun_Bed_Cap,D86-E86-F86,"")</f>
        <v/>
      </c>
      <c r="H86" s="57">
        <f>IF(A86&lt;=Mesclun_Bed_Cap,IF(ISNUMBER(H85),H85,0)+G86,"")</f>
        <v/>
      </c>
      <c r="I86" s="51">
        <f>IF(AND(AND(ISNUMBER(G86),G86&lt;0,ISNUMBER(G85),G85&gt;=0),(A86=Mesclun_Beds)),"&lt;- Cross-over &amp; Solver-selected",IF(AND(ISNUMBER(G86),G86&lt;0,ISNUMBER(G85),G85&gt;=0),"&lt;- Cross-over (next bed unprofitable)",IF((A86=Mesclun_Beds),"&lt;- Solver-selected","")))</f>
        <v/>
      </c>
    </row>
    <row r="87" ht="15" customHeight="1" s="35">
      <c r="A87" s="56">
        <f>ROW()-73</f>
        <v/>
      </c>
      <c r="B87" s="52">
        <f>IF(A87&lt;=Mesclun_Bed_Cap,A87*Mesclun_Hours*Season*(1+Mesclun_Dim_Return)^A87,"")</f>
        <v/>
      </c>
      <c r="C87" s="52">
        <f>IF(A87&lt;=Mesclun_Bed_Cap,B87-IF(ISNUMBER(B86),B86,0),"")</f>
        <v/>
      </c>
      <c r="D87" s="57">
        <f>IF(A87&lt;=Mesclun_Bed_Cap,Mesclun_Price,"")</f>
        <v/>
      </c>
      <c r="E87" s="57">
        <f>IF(A87&lt;=Mesclun_Bed_Cap,Mesclun_Fertilizer,"")</f>
        <v/>
      </c>
      <c r="F87" s="57">
        <f>IF(A87&lt;=Mesclun_Bed_Cap,MAX(0,MIN((Tomato_Beds*Tomato_Hours*Season*(1+Tomato_Dim_Return)^Tomato_Beds+Carrot_Beds*Carrrot_Hours*Season*(1+Carrot_Dim_Return)^Carrot_Beds)+B87,Farmer_Hours)-MIN((Tomato_Beds*Tomato_Hours*Season*(1+Tomato_Dim_Return)^Tomato_Beds+Carrot_Beds*Carrrot_Hours*Season*(1+Carrot_Dim_Return)^Carrot_Beds)+IF(ISNUMBER(B86),B86,0),Farmer_Hours))*Farmer_Cost+(C87-MAX(0,MIN((Tomato_Beds*Tomato_Hours*Season*(1+Tomato_Dim_Return)^Tomato_Beds+Carrot_Beds*Carrrot_Hours*Season*(1+Carrot_Dim_Return)^Carrot_Beds)+B87,Farmer_Hours)-MIN((Tomato_Beds*Tomato_Hours*Season*(1+Tomato_Dim_Return)^Tomato_Beds+Carrot_Beds*Carrrot_Hours*Season*(1+Carrot_Dim_Return)^Carrot_Beds)+IF(ISNUMBER(B86),B86,0),Farmer_Hours)))*Temp_Worker_Cost,"")</f>
        <v/>
      </c>
      <c r="G87" s="57">
        <f>IF(A87&lt;=Mesclun_Bed_Cap,D87-E87-F87,"")</f>
        <v/>
      </c>
      <c r="H87" s="57">
        <f>IF(A87&lt;=Mesclun_Bed_Cap,IF(ISNUMBER(H86),H86,0)+G87,"")</f>
        <v/>
      </c>
      <c r="I87" s="51">
        <f>IF(AND(AND(ISNUMBER(G87),G87&lt;0,ISNUMBER(G86),G86&gt;=0),(A87=Mesclun_Beds)),"&lt;- Cross-over &amp; Solver-selected",IF(AND(ISNUMBER(G87),G87&lt;0,ISNUMBER(G86),G86&gt;=0),"&lt;- Cross-over (next bed unprofitable)",IF((A87=Mesclun_Beds),"&lt;- Solver-selected","")))</f>
        <v/>
      </c>
    </row>
    <row r="88" ht="15" customHeight="1" s="35">
      <c r="A88" s="56">
        <f>ROW()-73</f>
        <v/>
      </c>
      <c r="B88" s="52">
        <f>IF(A88&lt;=Mesclun_Bed_Cap,A88*Mesclun_Hours*Season*(1+Mesclun_Dim_Return)^A88,"")</f>
        <v/>
      </c>
      <c r="C88" s="52">
        <f>IF(A88&lt;=Mesclun_Bed_Cap,B88-IF(ISNUMBER(B87),B87,0),"")</f>
        <v/>
      </c>
      <c r="D88" s="57">
        <f>IF(A88&lt;=Mesclun_Bed_Cap,Mesclun_Price,"")</f>
        <v/>
      </c>
      <c r="E88" s="57">
        <f>IF(A88&lt;=Mesclun_Bed_Cap,Mesclun_Fertilizer,"")</f>
        <v/>
      </c>
      <c r="F88" s="57">
        <f>IF(A88&lt;=Mesclun_Bed_Cap,MAX(0,MIN((Tomato_Beds*Tomato_Hours*Season*(1+Tomato_Dim_Return)^Tomato_Beds+Carrot_Beds*Carrrot_Hours*Season*(1+Carrot_Dim_Return)^Carrot_Beds)+B88,Farmer_Hours)-MIN((Tomato_Beds*Tomato_Hours*Season*(1+Tomato_Dim_Return)^Tomato_Beds+Carrot_Beds*Carrrot_Hours*Season*(1+Carrot_Dim_Return)^Carrot_Beds)+IF(ISNUMBER(B87),B87,0),Farmer_Hours))*Farmer_Cost+(C88-MAX(0,MIN((Tomato_Beds*Tomato_Hours*Season*(1+Tomato_Dim_Return)^Tomato_Beds+Carrot_Beds*Carrrot_Hours*Season*(1+Carrot_Dim_Return)^Carrot_Beds)+B88,Farmer_Hours)-MIN((Tomato_Beds*Tomato_Hours*Season*(1+Tomato_Dim_Return)^Tomato_Beds+Carrot_Beds*Carrrot_Hours*Season*(1+Carrot_Dim_Return)^Carrot_Beds)+IF(ISNUMBER(B87),B87,0),Farmer_Hours)))*Temp_Worker_Cost,"")</f>
        <v/>
      </c>
      <c r="G88" s="57">
        <f>IF(A88&lt;=Mesclun_Bed_Cap,D88-E88-F88,"")</f>
        <v/>
      </c>
      <c r="H88" s="57">
        <f>IF(A88&lt;=Mesclun_Bed_Cap,IF(ISNUMBER(H87),H87,0)+G88,"")</f>
        <v/>
      </c>
      <c r="I88" s="51">
        <f>IF(AND(AND(ISNUMBER(G88),G88&lt;0,ISNUMBER(G87),G87&gt;=0),(A88=Mesclun_Beds)),"&lt;- Cross-over &amp; Solver-selected",IF(AND(ISNUMBER(G88),G88&lt;0,ISNUMBER(G87),G87&gt;=0),"&lt;- Cross-over (next bed unprofitable)",IF((A88=Mesclun_Beds),"&lt;- Solver-selected","")))</f>
        <v/>
      </c>
    </row>
    <row r="89" ht="15" customHeight="1" s="35">
      <c r="A89" s="56">
        <f>ROW()-73</f>
        <v/>
      </c>
      <c r="B89" s="52">
        <f>IF(A89&lt;=Mesclun_Bed_Cap,A89*Mesclun_Hours*Season*(1+Mesclun_Dim_Return)^A89,"")</f>
        <v/>
      </c>
      <c r="C89" s="52">
        <f>IF(A89&lt;=Mesclun_Bed_Cap,B89-IF(ISNUMBER(B88),B88,0),"")</f>
        <v/>
      </c>
      <c r="D89" s="57">
        <f>IF(A89&lt;=Mesclun_Bed_Cap,Mesclun_Price,"")</f>
        <v/>
      </c>
      <c r="E89" s="57">
        <f>IF(A89&lt;=Mesclun_Bed_Cap,Mesclun_Fertilizer,"")</f>
        <v/>
      </c>
      <c r="F89" s="57">
        <f>IF(A89&lt;=Mesclun_Bed_Cap,MAX(0,MIN((Tomato_Beds*Tomato_Hours*Season*(1+Tomato_Dim_Return)^Tomato_Beds+Carrot_Beds*Carrrot_Hours*Season*(1+Carrot_Dim_Return)^Carrot_Beds)+B89,Farmer_Hours)-MIN((Tomato_Beds*Tomato_Hours*Season*(1+Tomato_Dim_Return)^Tomato_Beds+Carrot_Beds*Carrrot_Hours*Season*(1+Carrot_Dim_Return)^Carrot_Beds)+IF(ISNUMBER(B88),B88,0),Farmer_Hours))*Farmer_Cost+(C89-MAX(0,MIN((Tomato_Beds*Tomato_Hours*Season*(1+Tomato_Dim_Return)^Tomato_Beds+Carrot_Beds*Carrrot_Hours*Season*(1+Carrot_Dim_Return)^Carrot_Beds)+B89,Farmer_Hours)-MIN((Tomato_Beds*Tomato_Hours*Season*(1+Tomato_Dim_Return)^Tomato_Beds+Carrot_Beds*Carrrot_Hours*Season*(1+Carrot_Dim_Return)^Carrot_Beds)+IF(ISNUMBER(B88),B88,0),Farmer_Hours)))*Temp_Worker_Cost,"")</f>
        <v/>
      </c>
      <c r="G89" s="57">
        <f>IF(A89&lt;=Mesclun_Bed_Cap,D89-E89-F89,"")</f>
        <v/>
      </c>
      <c r="H89" s="57">
        <f>IF(A89&lt;=Mesclun_Bed_Cap,IF(ISNUMBER(H88),H88,0)+G89,"")</f>
        <v/>
      </c>
      <c r="I89" s="51">
        <f>IF(AND(AND(ISNUMBER(G89),G89&lt;0,ISNUMBER(G88),G88&gt;=0),(A89=Mesclun_Beds)),"&lt;- Cross-over &amp; Solver-selected",IF(AND(ISNUMBER(G89),G89&lt;0,ISNUMBER(G88),G88&gt;=0),"&lt;- Cross-over (next bed unprofitable)",IF((A89=Mesclun_Beds),"&lt;- Solver-selected","")))</f>
        <v/>
      </c>
    </row>
    <row r="90" ht="15" customHeight="1" s="35">
      <c r="A90" s="56">
        <f>ROW()-73</f>
        <v/>
      </c>
      <c r="B90" s="52">
        <f>IF(A90&lt;=Mesclun_Bed_Cap,A90*Mesclun_Hours*Season*(1+Mesclun_Dim_Return)^A90,"")</f>
        <v/>
      </c>
      <c r="C90" s="52">
        <f>IF(A90&lt;=Mesclun_Bed_Cap,B90-IF(ISNUMBER(B89),B89,0),"")</f>
        <v/>
      </c>
      <c r="D90" s="57">
        <f>IF(A90&lt;=Mesclun_Bed_Cap,Mesclun_Price,"")</f>
        <v/>
      </c>
      <c r="E90" s="57">
        <f>IF(A90&lt;=Mesclun_Bed_Cap,Mesclun_Fertilizer,"")</f>
        <v/>
      </c>
      <c r="F90" s="57">
        <f>IF(A90&lt;=Mesclun_Bed_Cap,MAX(0,MIN((Tomato_Beds*Tomato_Hours*Season*(1+Tomato_Dim_Return)^Tomato_Beds+Carrot_Beds*Carrrot_Hours*Season*(1+Carrot_Dim_Return)^Carrot_Beds)+B90,Farmer_Hours)-MIN((Tomato_Beds*Tomato_Hours*Season*(1+Tomato_Dim_Return)^Tomato_Beds+Carrot_Beds*Carrrot_Hours*Season*(1+Carrot_Dim_Return)^Carrot_Beds)+IF(ISNUMBER(B89),B89,0),Farmer_Hours))*Farmer_Cost+(C90-MAX(0,MIN((Tomato_Beds*Tomato_Hours*Season*(1+Tomato_Dim_Return)^Tomato_Beds+Carrot_Beds*Carrrot_Hours*Season*(1+Carrot_Dim_Return)^Carrot_Beds)+B90,Farmer_Hours)-MIN((Tomato_Beds*Tomato_Hours*Season*(1+Tomato_Dim_Return)^Tomato_Beds+Carrot_Beds*Carrrot_Hours*Season*(1+Carrot_Dim_Return)^Carrot_Beds)+IF(ISNUMBER(B89),B89,0),Farmer_Hours)))*Temp_Worker_Cost,"")</f>
        <v/>
      </c>
      <c r="G90" s="57">
        <f>IF(A90&lt;=Mesclun_Bed_Cap,D90-E90-F90,"")</f>
        <v/>
      </c>
      <c r="H90" s="57">
        <f>IF(A90&lt;=Mesclun_Bed_Cap,IF(ISNUMBER(H89),H89,0)+G90,"")</f>
        <v/>
      </c>
      <c r="I90" s="51">
        <f>IF(AND(AND(ISNUMBER(G90),G90&lt;0,ISNUMBER(G89),G89&gt;=0),(A90=Mesclun_Beds)),"&lt;- Cross-over &amp; Solver-selected",IF(AND(ISNUMBER(G90),G90&lt;0,ISNUMBER(G89),G89&gt;=0),"&lt;- Cross-over (next bed unprofitable)",IF((A90=Mesclun_Beds),"&lt;- Solver-selected","")))</f>
        <v/>
      </c>
    </row>
    <row r="91" ht="15" customHeight="1" s="35">
      <c r="A91" s="56">
        <f>ROW()-73</f>
        <v/>
      </c>
      <c r="B91" s="52">
        <f>IF(A91&lt;=Mesclun_Bed_Cap,A91*Mesclun_Hours*Season*(1+Mesclun_Dim_Return)^A91,"")</f>
        <v/>
      </c>
      <c r="C91" s="52">
        <f>IF(A91&lt;=Mesclun_Bed_Cap,B91-IF(ISNUMBER(B90),B90,0),"")</f>
        <v/>
      </c>
      <c r="D91" s="57">
        <f>IF(A91&lt;=Mesclun_Bed_Cap,Mesclun_Price,"")</f>
        <v/>
      </c>
      <c r="E91" s="57">
        <f>IF(A91&lt;=Mesclun_Bed_Cap,Mesclun_Fertilizer,"")</f>
        <v/>
      </c>
      <c r="F91" s="57">
        <f>IF(A91&lt;=Mesclun_Bed_Cap,MAX(0,MIN((Tomato_Beds*Tomato_Hours*Season*(1+Tomato_Dim_Return)^Tomato_Beds+Carrot_Beds*Carrrot_Hours*Season*(1+Carrot_Dim_Return)^Carrot_Beds)+B91,Farmer_Hours)-MIN((Tomato_Beds*Tomato_Hours*Season*(1+Tomato_Dim_Return)^Tomato_Beds+Carrot_Beds*Carrrot_Hours*Season*(1+Carrot_Dim_Return)^Carrot_Beds)+IF(ISNUMBER(B90),B90,0),Farmer_Hours))*Farmer_Cost+(C91-MAX(0,MIN((Tomato_Beds*Tomato_Hours*Season*(1+Tomato_Dim_Return)^Tomato_Beds+Carrot_Beds*Carrrot_Hours*Season*(1+Carrot_Dim_Return)^Carrot_Beds)+B91,Farmer_Hours)-MIN((Tomato_Beds*Tomato_Hours*Season*(1+Tomato_Dim_Return)^Tomato_Beds+Carrot_Beds*Carrrot_Hours*Season*(1+Carrot_Dim_Return)^Carrot_Beds)+IF(ISNUMBER(B90),B90,0),Farmer_Hours)))*Temp_Worker_Cost,"")</f>
        <v/>
      </c>
      <c r="G91" s="57">
        <f>IF(A91&lt;=Mesclun_Bed_Cap,D91-E91-F91,"")</f>
        <v/>
      </c>
      <c r="H91" s="57">
        <f>IF(A91&lt;=Mesclun_Bed_Cap,IF(ISNUMBER(H90),H90,0)+G91,"")</f>
        <v/>
      </c>
      <c r="I91" s="51">
        <f>IF(AND(AND(ISNUMBER(G91),G91&lt;0,ISNUMBER(G90),G90&gt;=0),(A91=Mesclun_Beds)),"&lt;- Cross-over &amp; Solver-selected",IF(AND(ISNUMBER(G91),G91&lt;0,ISNUMBER(G90),G90&gt;=0),"&lt;- Cross-over (next bed unprofitable)",IF((A91=Mesclun_Beds),"&lt;- Solver-selected","")))</f>
        <v/>
      </c>
    </row>
    <row r="92" ht="15" customHeight="1" s="35">
      <c r="A92" s="56">
        <f>ROW()-73</f>
        <v/>
      </c>
      <c r="B92" s="52">
        <f>IF(A92&lt;=Mesclun_Bed_Cap,A92*Mesclun_Hours*Season*(1+Mesclun_Dim_Return)^A92,"")</f>
        <v/>
      </c>
      <c r="C92" s="52">
        <f>IF(A92&lt;=Mesclun_Bed_Cap,B92-IF(ISNUMBER(B91),B91,0),"")</f>
        <v/>
      </c>
      <c r="D92" s="57">
        <f>IF(A92&lt;=Mesclun_Bed_Cap,Mesclun_Price,"")</f>
        <v/>
      </c>
      <c r="E92" s="57">
        <f>IF(A92&lt;=Mesclun_Bed_Cap,Mesclun_Fertilizer,"")</f>
        <v/>
      </c>
      <c r="F92" s="57">
        <f>IF(A92&lt;=Mesclun_Bed_Cap,MAX(0,MIN((Tomato_Beds*Tomato_Hours*Season*(1+Tomato_Dim_Return)^Tomato_Beds+Carrot_Beds*Carrrot_Hours*Season*(1+Carrot_Dim_Return)^Carrot_Beds)+B92,Farmer_Hours)-MIN((Tomato_Beds*Tomato_Hours*Season*(1+Tomato_Dim_Return)^Tomato_Beds+Carrot_Beds*Carrrot_Hours*Season*(1+Carrot_Dim_Return)^Carrot_Beds)+IF(ISNUMBER(B91),B91,0),Farmer_Hours))*Farmer_Cost+(C92-MAX(0,MIN((Tomato_Beds*Tomato_Hours*Season*(1+Tomato_Dim_Return)^Tomato_Beds+Carrot_Beds*Carrrot_Hours*Season*(1+Carrot_Dim_Return)^Carrot_Beds)+B92,Farmer_Hours)-MIN((Tomato_Beds*Tomato_Hours*Season*(1+Tomato_Dim_Return)^Tomato_Beds+Carrot_Beds*Carrrot_Hours*Season*(1+Carrot_Dim_Return)^Carrot_Beds)+IF(ISNUMBER(B91),B91,0),Farmer_Hours)))*Temp_Worker_Cost,"")</f>
        <v/>
      </c>
      <c r="G92" s="57">
        <f>IF(A92&lt;=Mesclun_Bed_Cap,D92-E92-F92,"")</f>
        <v/>
      </c>
      <c r="H92" s="57">
        <f>IF(A92&lt;=Mesclun_Bed_Cap,IF(ISNUMBER(H91),H91,0)+G92,"")</f>
        <v/>
      </c>
      <c r="I92" s="51">
        <f>IF(AND(AND(ISNUMBER(G92),G92&lt;0,ISNUMBER(G91),G91&gt;=0),(A92=Mesclun_Beds)),"&lt;- Cross-over &amp; Solver-selected",IF(AND(ISNUMBER(G92),G92&lt;0,ISNUMBER(G91),G91&gt;=0),"&lt;- Cross-over (next bed unprofitable)",IF((A92=Mesclun_Beds),"&lt;- Solver-selected","")))</f>
        <v/>
      </c>
    </row>
    <row r="93" ht="15" customHeight="1" s="35">
      <c r="A93" s="56">
        <f>ROW()-73</f>
        <v/>
      </c>
      <c r="B93" s="52">
        <f>IF(A93&lt;=Mesclun_Bed_Cap,A93*Mesclun_Hours*Season*(1+Mesclun_Dim_Return)^A93,"")</f>
        <v/>
      </c>
      <c r="C93" s="52">
        <f>IF(A93&lt;=Mesclun_Bed_Cap,B93-IF(ISNUMBER(B92),B92,0),"")</f>
        <v/>
      </c>
      <c r="D93" s="57">
        <f>IF(A93&lt;=Mesclun_Bed_Cap,Mesclun_Price,"")</f>
        <v/>
      </c>
      <c r="E93" s="57">
        <f>IF(A93&lt;=Mesclun_Bed_Cap,Mesclun_Fertilizer,"")</f>
        <v/>
      </c>
      <c r="F93" s="57">
        <f>IF(A93&lt;=Mesclun_Bed_Cap,MAX(0,MIN((Tomato_Beds*Tomato_Hours*Season*(1+Tomato_Dim_Return)^Tomato_Beds+Carrot_Beds*Carrrot_Hours*Season*(1+Carrot_Dim_Return)^Carrot_Beds)+B93,Farmer_Hours)-MIN((Tomato_Beds*Tomato_Hours*Season*(1+Tomato_Dim_Return)^Tomato_Beds+Carrot_Beds*Carrrot_Hours*Season*(1+Carrot_Dim_Return)^Carrot_Beds)+IF(ISNUMBER(B92),B92,0),Farmer_Hours))*Farmer_Cost+(C93-MAX(0,MIN((Tomato_Beds*Tomato_Hours*Season*(1+Tomato_Dim_Return)^Tomato_Beds+Carrot_Beds*Carrrot_Hours*Season*(1+Carrot_Dim_Return)^Carrot_Beds)+B93,Farmer_Hours)-MIN((Tomato_Beds*Tomato_Hours*Season*(1+Tomato_Dim_Return)^Tomato_Beds+Carrot_Beds*Carrrot_Hours*Season*(1+Carrot_Dim_Return)^Carrot_Beds)+IF(ISNUMBER(B92),B92,0),Farmer_Hours)))*Temp_Worker_Cost,"")</f>
        <v/>
      </c>
      <c r="G93" s="57">
        <f>IF(A93&lt;=Mesclun_Bed_Cap,D93-E93-F93,"")</f>
        <v/>
      </c>
      <c r="H93" s="57">
        <f>IF(A93&lt;=Mesclun_Bed_Cap,IF(ISNUMBER(H92),H92,0)+G93,"")</f>
        <v/>
      </c>
      <c r="I93" s="51">
        <f>IF(AND(AND(ISNUMBER(G93),G93&lt;0,ISNUMBER(G92),G92&gt;=0),(A93=Mesclun_Beds)),"&lt;- Cross-over &amp; Solver-selected",IF(AND(ISNUMBER(G93),G93&lt;0,ISNUMBER(G92),G92&gt;=0),"&lt;- Cross-over (next bed unprofitable)",IF((A93=Mesclun_Beds),"&lt;- Solver-selected","")))</f>
        <v/>
      </c>
    </row>
    <row r="94" ht="15" customHeight="1" s="35">
      <c r="A94" s="56">
        <f>ROW()-73</f>
        <v/>
      </c>
      <c r="B94" s="52">
        <f>IF(A94&lt;=Mesclun_Bed_Cap,A94*Mesclun_Hours*Season*(1+Mesclun_Dim_Return)^A94,"")</f>
        <v/>
      </c>
      <c r="C94" s="52">
        <f>IF(A94&lt;=Mesclun_Bed_Cap,B94-IF(ISNUMBER(B93),B93,0),"")</f>
        <v/>
      </c>
      <c r="D94" s="57">
        <f>IF(A94&lt;=Mesclun_Bed_Cap,Mesclun_Price,"")</f>
        <v/>
      </c>
      <c r="E94" s="57">
        <f>IF(A94&lt;=Mesclun_Bed_Cap,Mesclun_Fertilizer,"")</f>
        <v/>
      </c>
      <c r="F94" s="57">
        <f>IF(A94&lt;=Mesclun_Bed_Cap,MAX(0,MIN((Tomato_Beds*Tomato_Hours*Season*(1+Tomato_Dim_Return)^Tomato_Beds+Carrot_Beds*Carrrot_Hours*Season*(1+Carrot_Dim_Return)^Carrot_Beds)+B94,Farmer_Hours)-MIN((Tomato_Beds*Tomato_Hours*Season*(1+Tomato_Dim_Return)^Tomato_Beds+Carrot_Beds*Carrrot_Hours*Season*(1+Carrot_Dim_Return)^Carrot_Beds)+IF(ISNUMBER(B93),B93,0),Farmer_Hours))*Farmer_Cost+(C94-MAX(0,MIN((Tomato_Beds*Tomato_Hours*Season*(1+Tomato_Dim_Return)^Tomato_Beds+Carrot_Beds*Carrrot_Hours*Season*(1+Carrot_Dim_Return)^Carrot_Beds)+B94,Farmer_Hours)-MIN((Tomato_Beds*Tomato_Hours*Season*(1+Tomato_Dim_Return)^Tomato_Beds+Carrot_Beds*Carrrot_Hours*Season*(1+Carrot_Dim_Return)^Carrot_Beds)+IF(ISNUMBER(B93),B93,0),Farmer_Hours)))*Temp_Worker_Cost,"")</f>
        <v/>
      </c>
      <c r="G94" s="57">
        <f>IF(A94&lt;=Mesclun_Bed_Cap,D94-E94-F94,"")</f>
        <v/>
      </c>
      <c r="H94" s="57">
        <f>IF(A94&lt;=Mesclun_Bed_Cap,IF(ISNUMBER(H93),H93,0)+G94,"")</f>
        <v/>
      </c>
      <c r="I94" s="51">
        <f>IF(AND(AND(ISNUMBER(G94),G94&lt;0,ISNUMBER(G93),G93&gt;=0),(A94=Mesclun_Beds)),"&lt;- Cross-over &amp; Solver-selected",IF(AND(ISNUMBER(G94),G94&lt;0,ISNUMBER(G93),G93&gt;=0),"&lt;- Cross-over (next bed unprofitable)",IF((A94=Mesclun_Beds),"&lt;- Solver-selected","")))</f>
        <v/>
      </c>
    </row>
    <row r="95" ht="15" customHeight="1" s="35">
      <c r="A95" s="56">
        <f>ROW()-73</f>
        <v/>
      </c>
      <c r="B95" s="52">
        <f>IF(A95&lt;=Mesclun_Bed_Cap,A95*Mesclun_Hours*Season*(1+Mesclun_Dim_Return)^A95,"")</f>
        <v/>
      </c>
      <c r="C95" s="52">
        <f>IF(A95&lt;=Mesclun_Bed_Cap,B95-IF(ISNUMBER(B94),B94,0),"")</f>
        <v/>
      </c>
      <c r="D95" s="57">
        <f>IF(A95&lt;=Mesclun_Bed_Cap,Mesclun_Price,"")</f>
        <v/>
      </c>
      <c r="E95" s="57">
        <f>IF(A95&lt;=Mesclun_Bed_Cap,Mesclun_Fertilizer,"")</f>
        <v/>
      </c>
      <c r="F95" s="57">
        <f>IF(A95&lt;=Mesclun_Bed_Cap,MAX(0,MIN((Tomato_Beds*Tomato_Hours*Season*(1+Tomato_Dim_Return)^Tomato_Beds+Carrot_Beds*Carrrot_Hours*Season*(1+Carrot_Dim_Return)^Carrot_Beds)+B95,Farmer_Hours)-MIN((Tomato_Beds*Tomato_Hours*Season*(1+Tomato_Dim_Return)^Tomato_Beds+Carrot_Beds*Carrrot_Hours*Season*(1+Carrot_Dim_Return)^Carrot_Beds)+IF(ISNUMBER(B94),B94,0),Farmer_Hours))*Farmer_Cost+(C95-MAX(0,MIN((Tomato_Beds*Tomato_Hours*Season*(1+Tomato_Dim_Return)^Tomato_Beds+Carrot_Beds*Carrrot_Hours*Season*(1+Carrot_Dim_Return)^Carrot_Beds)+B95,Farmer_Hours)-MIN((Tomato_Beds*Tomato_Hours*Season*(1+Tomato_Dim_Return)^Tomato_Beds+Carrot_Beds*Carrrot_Hours*Season*(1+Carrot_Dim_Return)^Carrot_Beds)+IF(ISNUMBER(B94),B94,0),Farmer_Hours)))*Temp_Worker_Cost,"")</f>
        <v/>
      </c>
      <c r="G95" s="57">
        <f>IF(A95&lt;=Mesclun_Bed_Cap,D95-E95-F95,"")</f>
        <v/>
      </c>
      <c r="H95" s="57">
        <f>IF(A95&lt;=Mesclun_Bed_Cap,IF(ISNUMBER(H94),H94,0)+G95,"")</f>
        <v/>
      </c>
      <c r="I95" s="51">
        <f>IF(AND(AND(ISNUMBER(G95),G95&lt;0,ISNUMBER(G94),G94&gt;=0),(A95=Mesclun_Beds)),"&lt;- Cross-over &amp; Solver-selected",IF(AND(ISNUMBER(G95),G95&lt;0,ISNUMBER(G94),G94&gt;=0),"&lt;- Cross-over (next bed unprofitable)",IF((A95=Mesclun_Beds),"&lt;- Solver-selected","")))</f>
        <v/>
      </c>
    </row>
    <row r="96" ht="15" customHeight="1" s="35">
      <c r="A96" s="56">
        <f>ROW()-73</f>
        <v/>
      </c>
      <c r="B96" s="52">
        <f>IF(A96&lt;=Mesclun_Bed_Cap,A96*Mesclun_Hours*Season*(1+Mesclun_Dim_Return)^A96,"")</f>
        <v/>
      </c>
      <c r="C96" s="52">
        <f>IF(A96&lt;=Mesclun_Bed_Cap,B96-IF(ISNUMBER(B95),B95,0),"")</f>
        <v/>
      </c>
      <c r="D96" s="57">
        <f>IF(A96&lt;=Mesclun_Bed_Cap,Mesclun_Price,"")</f>
        <v/>
      </c>
      <c r="E96" s="57">
        <f>IF(A96&lt;=Mesclun_Bed_Cap,Mesclun_Fertilizer,"")</f>
        <v/>
      </c>
      <c r="F96" s="57">
        <f>IF(A96&lt;=Mesclun_Bed_Cap,MAX(0,MIN((Tomato_Beds*Tomato_Hours*Season*(1+Tomato_Dim_Return)^Tomato_Beds+Carrot_Beds*Carrrot_Hours*Season*(1+Carrot_Dim_Return)^Carrot_Beds)+B96,Farmer_Hours)-MIN((Tomato_Beds*Tomato_Hours*Season*(1+Tomato_Dim_Return)^Tomato_Beds+Carrot_Beds*Carrrot_Hours*Season*(1+Carrot_Dim_Return)^Carrot_Beds)+IF(ISNUMBER(B95),B95,0),Farmer_Hours))*Farmer_Cost+(C96-MAX(0,MIN((Tomato_Beds*Tomato_Hours*Season*(1+Tomato_Dim_Return)^Tomato_Beds+Carrot_Beds*Carrrot_Hours*Season*(1+Carrot_Dim_Return)^Carrot_Beds)+B96,Farmer_Hours)-MIN((Tomato_Beds*Tomato_Hours*Season*(1+Tomato_Dim_Return)^Tomato_Beds+Carrot_Beds*Carrrot_Hours*Season*(1+Carrot_Dim_Return)^Carrot_Beds)+IF(ISNUMBER(B95),B95,0),Farmer_Hours)))*Temp_Worker_Cost,"")</f>
        <v/>
      </c>
      <c r="G96" s="57">
        <f>IF(A96&lt;=Mesclun_Bed_Cap,D96-E96-F96,"")</f>
        <v/>
      </c>
      <c r="H96" s="57">
        <f>IF(A96&lt;=Mesclun_Bed_Cap,IF(ISNUMBER(H95),H95,0)+G96,"")</f>
        <v/>
      </c>
      <c r="I96" s="51">
        <f>IF(AND(AND(ISNUMBER(G96),G96&lt;0,ISNUMBER(G95),G95&gt;=0),(A96=Mesclun_Beds)),"&lt;- Cross-over &amp; Solver-selected",IF(AND(ISNUMBER(G96),G96&lt;0,ISNUMBER(G95),G95&gt;=0),"&lt;- Cross-over (next bed unprofitable)",IF((A96=Mesclun_Beds),"&lt;- Solver-selected","")))</f>
        <v/>
      </c>
    </row>
    <row r="97" ht="15" customHeight="1" s="35">
      <c r="A97" s="56">
        <f>ROW()-73</f>
        <v/>
      </c>
      <c r="B97" s="52">
        <f>IF(A97&lt;=Mesclun_Bed_Cap,A97*Mesclun_Hours*Season*(1+Mesclun_Dim_Return)^A97,"")</f>
        <v/>
      </c>
      <c r="C97" s="52">
        <f>IF(A97&lt;=Mesclun_Bed_Cap,B97-IF(ISNUMBER(B96),B96,0),"")</f>
        <v/>
      </c>
      <c r="D97" s="57">
        <f>IF(A97&lt;=Mesclun_Bed_Cap,Mesclun_Price,"")</f>
        <v/>
      </c>
      <c r="E97" s="57">
        <f>IF(A97&lt;=Mesclun_Bed_Cap,Mesclun_Fertilizer,"")</f>
        <v/>
      </c>
      <c r="F97" s="57">
        <f>IF(A97&lt;=Mesclun_Bed_Cap,MAX(0,MIN((Tomato_Beds*Tomato_Hours*Season*(1+Tomato_Dim_Return)^Tomato_Beds+Carrot_Beds*Carrrot_Hours*Season*(1+Carrot_Dim_Return)^Carrot_Beds)+B97,Farmer_Hours)-MIN((Tomato_Beds*Tomato_Hours*Season*(1+Tomato_Dim_Return)^Tomato_Beds+Carrot_Beds*Carrrot_Hours*Season*(1+Carrot_Dim_Return)^Carrot_Beds)+IF(ISNUMBER(B96),B96,0),Farmer_Hours))*Farmer_Cost+(C97-MAX(0,MIN((Tomato_Beds*Tomato_Hours*Season*(1+Tomato_Dim_Return)^Tomato_Beds+Carrot_Beds*Carrrot_Hours*Season*(1+Carrot_Dim_Return)^Carrot_Beds)+B97,Farmer_Hours)-MIN((Tomato_Beds*Tomato_Hours*Season*(1+Tomato_Dim_Return)^Tomato_Beds+Carrot_Beds*Carrrot_Hours*Season*(1+Carrot_Dim_Return)^Carrot_Beds)+IF(ISNUMBER(B96),B96,0),Farmer_Hours)))*Temp_Worker_Cost,"")</f>
        <v/>
      </c>
      <c r="G97" s="57">
        <f>IF(A97&lt;=Mesclun_Bed_Cap,D97-E97-F97,"")</f>
        <v/>
      </c>
      <c r="H97" s="57">
        <f>IF(A97&lt;=Mesclun_Bed_Cap,IF(ISNUMBER(H96),H96,0)+G97,"")</f>
        <v/>
      </c>
      <c r="I97" s="51">
        <f>IF(AND(AND(ISNUMBER(G97),G97&lt;0,ISNUMBER(G96),G96&gt;=0),(A97=Mesclun_Beds)),"&lt;- Cross-over &amp; Solver-selected",IF(AND(ISNUMBER(G97),G97&lt;0,ISNUMBER(G96),G96&gt;=0),"&lt;- Cross-over (next bed unprofitable)",IF((A97=Mesclun_Beds),"&lt;- Solver-selected","")))</f>
        <v/>
      </c>
    </row>
    <row r="98" ht="15" customHeight="1" s="35">
      <c r="A98" s="56">
        <f>ROW()-73</f>
        <v/>
      </c>
      <c r="B98" s="52">
        <f>IF(A98&lt;=Mesclun_Bed_Cap,A98*Mesclun_Hours*Season*(1+Mesclun_Dim_Return)^A98,"")</f>
        <v/>
      </c>
      <c r="C98" s="52">
        <f>IF(A98&lt;=Mesclun_Bed_Cap,B98-IF(ISNUMBER(B97),B97,0),"")</f>
        <v/>
      </c>
      <c r="D98" s="57">
        <f>IF(A98&lt;=Mesclun_Bed_Cap,Mesclun_Price,"")</f>
        <v/>
      </c>
      <c r="E98" s="57">
        <f>IF(A98&lt;=Mesclun_Bed_Cap,Mesclun_Fertilizer,"")</f>
        <v/>
      </c>
      <c r="F98" s="57">
        <f>IF(A98&lt;=Mesclun_Bed_Cap,MAX(0,MIN((Tomato_Beds*Tomato_Hours*Season*(1+Tomato_Dim_Return)^Tomato_Beds+Carrot_Beds*Carrrot_Hours*Season*(1+Carrot_Dim_Return)^Carrot_Beds)+B98,Farmer_Hours)-MIN((Tomato_Beds*Tomato_Hours*Season*(1+Tomato_Dim_Return)^Tomato_Beds+Carrot_Beds*Carrrot_Hours*Season*(1+Carrot_Dim_Return)^Carrot_Beds)+IF(ISNUMBER(B97),B97,0),Farmer_Hours))*Farmer_Cost+(C98-MAX(0,MIN((Tomato_Beds*Tomato_Hours*Season*(1+Tomato_Dim_Return)^Tomato_Beds+Carrot_Beds*Carrrot_Hours*Season*(1+Carrot_Dim_Return)^Carrot_Beds)+B98,Farmer_Hours)-MIN((Tomato_Beds*Tomato_Hours*Season*(1+Tomato_Dim_Return)^Tomato_Beds+Carrot_Beds*Carrrot_Hours*Season*(1+Carrot_Dim_Return)^Carrot_Beds)+IF(ISNUMBER(B97),B97,0),Farmer_Hours)))*Temp_Worker_Cost,"")</f>
        <v/>
      </c>
      <c r="G98" s="57">
        <f>IF(A98&lt;=Mesclun_Bed_Cap,D98-E98-F98,"")</f>
        <v/>
      </c>
      <c r="H98" s="57">
        <f>IF(A98&lt;=Mesclun_Bed_Cap,IF(ISNUMBER(H97),H97,0)+G98,"")</f>
        <v/>
      </c>
      <c r="I98" s="51">
        <f>IF(AND(AND(ISNUMBER(G98),G98&lt;0,ISNUMBER(G97),G97&gt;=0),(A98=Mesclun_Beds)),"&lt;- Cross-over &amp; Solver-selected",IF(AND(ISNUMBER(G98),G98&lt;0,ISNUMBER(G97),G97&gt;=0),"&lt;- Cross-over (next bed unprofitable)",IF((A98=Mesclun_Beds),"&lt;- Solver-selected","")))</f>
        <v/>
      </c>
    </row>
    <row r="99" ht="15" customHeight="1" s="35">
      <c r="A99" s="56">
        <f>ROW()-73</f>
        <v/>
      </c>
      <c r="B99" s="52">
        <f>IF(A99&lt;=Mesclun_Bed_Cap,A99*Mesclun_Hours*Season*(1+Mesclun_Dim_Return)^A99,"")</f>
        <v/>
      </c>
      <c r="C99" s="52">
        <f>IF(A99&lt;=Mesclun_Bed_Cap,B99-IF(ISNUMBER(B98),B98,0),"")</f>
        <v/>
      </c>
      <c r="D99" s="57">
        <f>IF(A99&lt;=Mesclun_Bed_Cap,Mesclun_Price,"")</f>
        <v/>
      </c>
      <c r="E99" s="57">
        <f>IF(A99&lt;=Mesclun_Bed_Cap,Mesclun_Fertilizer,"")</f>
        <v/>
      </c>
      <c r="F99" s="57">
        <f>IF(A99&lt;=Mesclun_Bed_Cap,MAX(0,MIN((Tomato_Beds*Tomato_Hours*Season*(1+Tomato_Dim_Return)^Tomato_Beds+Carrot_Beds*Carrrot_Hours*Season*(1+Carrot_Dim_Return)^Carrot_Beds)+B99,Farmer_Hours)-MIN((Tomato_Beds*Tomato_Hours*Season*(1+Tomato_Dim_Return)^Tomato_Beds+Carrot_Beds*Carrrot_Hours*Season*(1+Carrot_Dim_Return)^Carrot_Beds)+IF(ISNUMBER(B98),B98,0),Farmer_Hours))*Farmer_Cost+(C99-MAX(0,MIN((Tomato_Beds*Tomato_Hours*Season*(1+Tomato_Dim_Return)^Tomato_Beds+Carrot_Beds*Carrrot_Hours*Season*(1+Carrot_Dim_Return)^Carrot_Beds)+B99,Farmer_Hours)-MIN((Tomato_Beds*Tomato_Hours*Season*(1+Tomato_Dim_Return)^Tomato_Beds+Carrot_Beds*Carrrot_Hours*Season*(1+Carrot_Dim_Return)^Carrot_Beds)+IF(ISNUMBER(B98),B98,0),Farmer_Hours)))*Temp_Worker_Cost,"")</f>
        <v/>
      </c>
      <c r="G99" s="57">
        <f>IF(A99&lt;=Mesclun_Bed_Cap,D99-E99-F99,"")</f>
        <v/>
      </c>
      <c r="H99" s="57">
        <f>IF(A99&lt;=Mesclun_Bed_Cap,IF(ISNUMBER(H98),H98,0)+G99,"")</f>
        <v/>
      </c>
      <c r="I99" s="51">
        <f>IF(AND(AND(ISNUMBER(G99),G99&lt;0,ISNUMBER(G98),G98&gt;=0),(A99=Mesclun_Beds)),"&lt;- Cross-over &amp; Solver-selected",IF(AND(ISNUMBER(G99),G99&lt;0,ISNUMBER(G98),G98&gt;=0),"&lt;- Cross-over (next bed unprofitable)",IF((A99=Mesclun_Beds),"&lt;- Solver-selected","")))</f>
        <v/>
      </c>
    </row>
    <row r="100" ht="15" customHeight="1" s="35">
      <c r="A100" s="56">
        <f>ROW()-73</f>
        <v/>
      </c>
      <c r="B100" s="52">
        <f>IF(A100&lt;=Mesclun_Bed_Cap,A100*Mesclun_Hours*Season*(1+Mesclun_Dim_Return)^A100,"")</f>
        <v/>
      </c>
      <c r="C100" s="52">
        <f>IF(A100&lt;=Mesclun_Bed_Cap,B100-IF(ISNUMBER(B99),B99,0),"")</f>
        <v/>
      </c>
      <c r="D100" s="57">
        <f>IF(A100&lt;=Mesclun_Bed_Cap,Mesclun_Price,"")</f>
        <v/>
      </c>
      <c r="E100" s="57">
        <f>IF(A100&lt;=Mesclun_Bed_Cap,Mesclun_Fertilizer,"")</f>
        <v/>
      </c>
      <c r="F100" s="57">
        <f>IF(A100&lt;=Mesclun_Bed_Cap,MAX(0,MIN((Tomato_Beds*Tomato_Hours*Season*(1+Tomato_Dim_Return)^Tomato_Beds+Carrot_Beds*Carrrot_Hours*Season*(1+Carrot_Dim_Return)^Carrot_Beds)+B100,Farmer_Hours)-MIN((Tomato_Beds*Tomato_Hours*Season*(1+Tomato_Dim_Return)^Tomato_Beds+Carrot_Beds*Carrrot_Hours*Season*(1+Carrot_Dim_Return)^Carrot_Beds)+IF(ISNUMBER(B99),B99,0),Farmer_Hours))*Farmer_Cost+(C100-MAX(0,MIN((Tomato_Beds*Tomato_Hours*Season*(1+Tomato_Dim_Return)^Tomato_Beds+Carrot_Beds*Carrrot_Hours*Season*(1+Carrot_Dim_Return)^Carrot_Beds)+B100,Farmer_Hours)-MIN((Tomato_Beds*Tomato_Hours*Season*(1+Tomato_Dim_Return)^Tomato_Beds+Carrot_Beds*Carrrot_Hours*Season*(1+Carrot_Dim_Return)^Carrot_Beds)+IF(ISNUMBER(B99),B99,0),Farmer_Hours)))*Temp_Worker_Cost,"")</f>
        <v/>
      </c>
      <c r="G100" s="57">
        <f>IF(A100&lt;=Mesclun_Bed_Cap,D100-E100-F100,"")</f>
        <v/>
      </c>
      <c r="H100" s="57">
        <f>IF(A100&lt;=Mesclun_Bed_Cap,IF(ISNUMBER(H99),H99,0)+G100,"")</f>
        <v/>
      </c>
      <c r="I100" s="51">
        <f>IF(AND(AND(ISNUMBER(G100),G100&lt;0,ISNUMBER(G99),G99&gt;=0),(A100=Mesclun_Beds)),"&lt;- Cross-over &amp; Solver-selected",IF(AND(ISNUMBER(G100),G100&lt;0,ISNUMBER(G99),G99&gt;=0),"&lt;- Cross-over (next bed unprofitable)",IF((A100=Mesclun_Beds),"&lt;- Solver-selected","")))</f>
        <v/>
      </c>
    </row>
    <row r="101" ht="15" customHeight="1" s="35">
      <c r="A101" s="56">
        <f>ROW()-73</f>
        <v/>
      </c>
      <c r="B101" s="52">
        <f>IF(A101&lt;=Mesclun_Bed_Cap,A101*Mesclun_Hours*Season*(1+Mesclun_Dim_Return)^A101,"")</f>
        <v/>
      </c>
      <c r="C101" s="52">
        <f>IF(A101&lt;=Mesclun_Bed_Cap,B101-IF(ISNUMBER(B100),B100,0),"")</f>
        <v/>
      </c>
      <c r="D101" s="57">
        <f>IF(A101&lt;=Mesclun_Bed_Cap,Mesclun_Price,"")</f>
        <v/>
      </c>
      <c r="E101" s="57">
        <f>IF(A101&lt;=Mesclun_Bed_Cap,Mesclun_Fertilizer,"")</f>
        <v/>
      </c>
      <c r="F101" s="57">
        <f>IF(A101&lt;=Mesclun_Bed_Cap,MAX(0,MIN((Tomato_Beds*Tomato_Hours*Season*(1+Tomato_Dim_Return)^Tomato_Beds+Carrot_Beds*Carrrot_Hours*Season*(1+Carrot_Dim_Return)^Carrot_Beds)+B101,Farmer_Hours)-MIN((Tomato_Beds*Tomato_Hours*Season*(1+Tomato_Dim_Return)^Tomato_Beds+Carrot_Beds*Carrrot_Hours*Season*(1+Carrot_Dim_Return)^Carrot_Beds)+IF(ISNUMBER(B100),B100,0),Farmer_Hours))*Farmer_Cost+(C101-MAX(0,MIN((Tomato_Beds*Tomato_Hours*Season*(1+Tomato_Dim_Return)^Tomato_Beds+Carrot_Beds*Carrrot_Hours*Season*(1+Carrot_Dim_Return)^Carrot_Beds)+B101,Farmer_Hours)-MIN((Tomato_Beds*Tomato_Hours*Season*(1+Tomato_Dim_Return)^Tomato_Beds+Carrot_Beds*Carrrot_Hours*Season*(1+Carrot_Dim_Return)^Carrot_Beds)+IF(ISNUMBER(B100),B100,0),Farmer_Hours)))*Temp_Worker_Cost,"")</f>
        <v/>
      </c>
      <c r="G101" s="57">
        <f>IF(A101&lt;=Mesclun_Bed_Cap,D101-E101-F101,"")</f>
        <v/>
      </c>
      <c r="H101" s="57">
        <f>IF(A101&lt;=Mesclun_Bed_Cap,IF(ISNUMBER(H100),H100,0)+G101,"")</f>
        <v/>
      </c>
      <c r="I101" s="51">
        <f>IF(AND(AND(ISNUMBER(G101),G101&lt;0,ISNUMBER(G100),G100&gt;=0),(A101=Mesclun_Beds)),"&lt;- Cross-over &amp; Solver-selected",IF(AND(ISNUMBER(G101),G101&lt;0,ISNUMBER(G100),G100&gt;=0),"&lt;- Cross-over (next bed unprofitable)",IF((A101=Mesclun_Beds),"&lt;- Solver-selected","")))</f>
        <v/>
      </c>
    </row>
    <row r="102" ht="15" customHeight="1" s="35">
      <c r="A102" s="56">
        <f>ROW()-73</f>
        <v/>
      </c>
      <c r="B102" s="52">
        <f>IF(A102&lt;=Mesclun_Bed_Cap,A102*Mesclun_Hours*Season*(1+Mesclun_Dim_Return)^A102,"")</f>
        <v/>
      </c>
      <c r="C102" s="52">
        <f>IF(A102&lt;=Mesclun_Bed_Cap,B102-IF(ISNUMBER(B101),B101,0),"")</f>
        <v/>
      </c>
      <c r="D102" s="57">
        <f>IF(A102&lt;=Mesclun_Bed_Cap,Mesclun_Price,"")</f>
        <v/>
      </c>
      <c r="E102" s="57">
        <f>IF(A102&lt;=Mesclun_Bed_Cap,Mesclun_Fertilizer,"")</f>
        <v/>
      </c>
      <c r="F102" s="57">
        <f>IF(A102&lt;=Mesclun_Bed_Cap,MAX(0,MIN((Tomato_Beds*Tomato_Hours*Season*(1+Tomato_Dim_Return)^Tomato_Beds+Carrot_Beds*Carrrot_Hours*Season*(1+Carrot_Dim_Return)^Carrot_Beds)+B102,Farmer_Hours)-MIN((Tomato_Beds*Tomato_Hours*Season*(1+Tomato_Dim_Return)^Tomato_Beds+Carrot_Beds*Carrrot_Hours*Season*(1+Carrot_Dim_Return)^Carrot_Beds)+IF(ISNUMBER(B101),B101,0),Farmer_Hours))*Farmer_Cost+(C102-MAX(0,MIN((Tomato_Beds*Tomato_Hours*Season*(1+Tomato_Dim_Return)^Tomato_Beds+Carrot_Beds*Carrrot_Hours*Season*(1+Carrot_Dim_Return)^Carrot_Beds)+B102,Farmer_Hours)-MIN((Tomato_Beds*Tomato_Hours*Season*(1+Tomato_Dim_Return)^Tomato_Beds+Carrot_Beds*Carrrot_Hours*Season*(1+Carrot_Dim_Return)^Carrot_Beds)+IF(ISNUMBER(B101),B101,0),Farmer_Hours)))*Temp_Worker_Cost,"")</f>
        <v/>
      </c>
      <c r="G102" s="57">
        <f>IF(A102&lt;=Mesclun_Bed_Cap,D102-E102-F102,"")</f>
        <v/>
      </c>
      <c r="H102" s="57">
        <f>IF(A102&lt;=Mesclun_Bed_Cap,IF(ISNUMBER(H101),H101,0)+G102,"")</f>
        <v/>
      </c>
      <c r="I102" s="51">
        <f>IF(AND(AND(ISNUMBER(G102),G102&lt;0,ISNUMBER(G101),G101&gt;=0),(A102=Mesclun_Beds)),"&lt;- Cross-over &amp; Solver-selected",IF(AND(ISNUMBER(G102),G102&lt;0,ISNUMBER(G101),G101&gt;=0),"&lt;- Cross-over (next bed unprofitable)",IF((A102=Mesclun_Beds),"&lt;- Solver-selected","")))</f>
        <v/>
      </c>
    </row>
    <row r="103" ht="15" customHeight="1" s="35">
      <c r="A103" s="56">
        <f>ROW()-73</f>
        <v/>
      </c>
      <c r="B103" s="52">
        <f>IF(A103&lt;=Mesclun_Bed_Cap,A103*Mesclun_Hours*Season*(1+Mesclun_Dim_Return)^A103,"")</f>
        <v/>
      </c>
      <c r="C103" s="52">
        <f>IF(A103&lt;=Mesclun_Bed_Cap,B103-IF(ISNUMBER(B102),B102,0),"")</f>
        <v/>
      </c>
      <c r="D103" s="57">
        <f>IF(A103&lt;=Mesclun_Bed_Cap,Mesclun_Price,"")</f>
        <v/>
      </c>
      <c r="E103" s="57">
        <f>IF(A103&lt;=Mesclun_Bed_Cap,Mesclun_Fertilizer,"")</f>
        <v/>
      </c>
      <c r="F103" s="57">
        <f>IF(A103&lt;=Mesclun_Bed_Cap,MAX(0,MIN((Tomato_Beds*Tomato_Hours*Season*(1+Tomato_Dim_Return)^Tomato_Beds+Carrot_Beds*Carrrot_Hours*Season*(1+Carrot_Dim_Return)^Carrot_Beds)+B103,Farmer_Hours)-MIN((Tomato_Beds*Tomato_Hours*Season*(1+Tomato_Dim_Return)^Tomato_Beds+Carrot_Beds*Carrrot_Hours*Season*(1+Carrot_Dim_Return)^Carrot_Beds)+IF(ISNUMBER(B102),B102,0),Farmer_Hours))*Farmer_Cost+(C103-MAX(0,MIN((Tomato_Beds*Tomato_Hours*Season*(1+Tomato_Dim_Return)^Tomato_Beds+Carrot_Beds*Carrrot_Hours*Season*(1+Carrot_Dim_Return)^Carrot_Beds)+B103,Farmer_Hours)-MIN((Tomato_Beds*Tomato_Hours*Season*(1+Tomato_Dim_Return)^Tomato_Beds+Carrot_Beds*Carrrot_Hours*Season*(1+Carrot_Dim_Return)^Carrot_Beds)+IF(ISNUMBER(B102),B102,0),Farmer_Hours)))*Temp_Worker_Cost,"")</f>
        <v/>
      </c>
      <c r="G103" s="57">
        <f>IF(A103&lt;=Mesclun_Bed_Cap,D103-E103-F103,"")</f>
        <v/>
      </c>
      <c r="H103" s="57">
        <f>IF(A103&lt;=Mesclun_Bed_Cap,IF(ISNUMBER(H102),H102,0)+G103,"")</f>
        <v/>
      </c>
      <c r="I103" s="51">
        <f>IF(AND(AND(ISNUMBER(G103),G103&lt;0,ISNUMBER(G102),G102&gt;=0),(A103=Mesclun_Beds)),"&lt;- Cross-over &amp; Solver-selected",IF(AND(ISNUMBER(G103),G103&lt;0,ISNUMBER(G102),G102&gt;=0),"&lt;- Cross-over (next bed unprofitable)",IF((A103=Mesclun_Beds),"&lt;- Solver-selected","")))</f>
        <v/>
      </c>
    </row>
  </sheetData>
  <mergeCells count="5">
    <mergeCell ref="A2:I2"/>
    <mergeCell ref="A1:I1"/>
    <mergeCell ref="A4:I4"/>
    <mergeCell ref="A38:I38"/>
    <mergeCell ref="A72:I72"/>
  </mergeCells>
  <conditionalFormatting sqref="I6:I35">
    <cfRule type="expression" rank="0" priority="2" equalAverage="0" aboveAverage="0" dxfId="2" text="" percent="0" bottom="0">
      <formula>ISNUMBER(SEARCH("Cross-over",I6))</formula>
    </cfRule>
    <cfRule type="expression" rank="0" priority="3" equalAverage="0" aboveAverage="0" dxfId="3" text="" percent="0" bottom="0">
      <formula>ISNUMBER(SEARCH("Solver-selected",I6))</formula>
    </cfRule>
  </conditionalFormatting>
  <conditionalFormatting sqref="I40:I69">
    <cfRule type="expression" rank="0" priority="4" equalAverage="0" aboveAverage="0" dxfId="2" text="" percent="0" bottom="0">
      <formula>ISNUMBER(SEARCH("Cross-over",I40))</formula>
    </cfRule>
    <cfRule type="expression" rank="0" priority="5" equalAverage="0" aboveAverage="0" dxfId="3" text="" percent="0" bottom="0">
      <formula>ISNUMBER(SEARCH("Solver-selected",I40))</formula>
    </cfRule>
  </conditionalFormatting>
  <conditionalFormatting sqref="I74:I103">
    <cfRule type="expression" rank="0" priority="6" equalAverage="0" aboveAverage="0" dxfId="2" text="" percent="0" bottom="0">
      <formula>ISNUMBER(SEARCH("Cross-over",I74))</formula>
    </cfRule>
    <cfRule type="expression" rank="0" priority="7" equalAverage="0" aboveAverage="0" dxfId="3" text="" percent="0" bottom="0">
      <formula>ISNUMBER(SEARCH("Solver-selected",I74))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G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30" customWidth="1" style="34" min="1" max="1"/>
    <col width="16" customWidth="1" style="34" min="2" max="5"/>
    <col width="18" customWidth="1" style="34" min="6" max="6"/>
    <col width="16" customWidth="1" style="34" min="7" max="7"/>
  </cols>
  <sheetData>
    <row r="1" ht="17.25" customHeight="1" s="35">
      <c r="A1" s="36" t="inlineStr">
        <is>
          <t>Marginal Analysis — Optimal Crop Mix &amp; P&amp;L</t>
        </is>
      </c>
    </row>
    <row r="3" ht="15" customHeight="1" s="35">
      <c r="A3" s="38" t="inlineStr">
        <is>
          <t>Decision Variables — Solver-Adjustable Cells</t>
        </is>
      </c>
    </row>
    <row r="4" ht="15" customHeight="1" s="35">
      <c r="A4" s="39" t="inlineStr">
        <is>
          <t>Crop</t>
        </is>
      </c>
      <c r="B4" s="39" t="inlineStr">
        <is>
          <t>Beds Planted</t>
        </is>
      </c>
      <c r="C4" s="39" t="inlineStr">
        <is>
          <t>Bed Cap (ref)</t>
        </is>
      </c>
    </row>
    <row r="5" ht="15" customHeight="1" s="35">
      <c r="A5" s="40" t="inlineStr">
        <is>
          <t>Tomatoes</t>
        </is>
      </c>
      <c r="B5" s="58" t="n">
        <v>10</v>
      </c>
      <c r="C5" s="59">
        <f>Tomato_Bed_Cap</f>
        <v/>
      </c>
    </row>
    <row r="6" ht="15" customHeight="1" s="35">
      <c r="A6" s="40" t="inlineStr">
        <is>
          <t>Carrots</t>
        </is>
      </c>
      <c r="B6" s="58" t="n">
        <v>20</v>
      </c>
      <c r="C6" s="59">
        <f>Carrot_Bed_Cap</f>
        <v/>
      </c>
    </row>
    <row r="7" ht="15" customHeight="1" s="35">
      <c r="A7" s="40" t="inlineStr">
        <is>
          <t>Mesclun</t>
        </is>
      </c>
      <c r="B7" s="58" t="n">
        <v>30</v>
      </c>
      <c r="C7" s="59">
        <f>Mesclun_Bed_Cap</f>
        <v/>
      </c>
    </row>
    <row r="8" ht="15" customHeight="1" s="35">
      <c r="A8" s="40" t="inlineStr">
        <is>
          <t>Total Beds Planted</t>
        </is>
      </c>
      <c r="B8" s="60">
        <f>SUM(B5:B7)</f>
        <v/>
      </c>
      <c r="C8" s="59">
        <f>Beds_Available</f>
        <v/>
      </c>
    </row>
    <row r="9" ht="15" customHeight="1" s="35">
      <c r="A9" s="38" t="inlineStr">
        <is>
          <t>Profit &amp; Loss by Crop (labor costed at farm-wide blended rate)</t>
        </is>
      </c>
    </row>
    <row r="10" ht="39" customHeight="1" s="35">
      <c r="A10" s="39" t="inlineStr">
        <is>
          <t>Crop</t>
        </is>
      </c>
      <c r="B10" s="39" t="inlineStr">
        <is>
          <t>Beds</t>
        </is>
      </c>
      <c r="C10" s="39" t="inlineStr">
        <is>
          <t>Revenue ($)</t>
        </is>
      </c>
      <c r="D10" s="39" t="inlineStr">
        <is>
          <t>Fertilizer Cost ($)</t>
        </is>
      </c>
      <c r="E10" s="39" t="inlineStr">
        <is>
          <t>Labor Hours (hrs)</t>
        </is>
      </c>
      <c r="F10" s="39" t="inlineStr">
        <is>
          <t>Labor Cost ($, blended rate)</t>
        </is>
      </c>
      <c r="G10" s="39" t="inlineStr">
        <is>
          <t>Profit ($, contribution margin)</t>
        </is>
      </c>
    </row>
    <row r="11" ht="15" customHeight="1" s="35">
      <c r="A11" s="40" t="inlineStr">
        <is>
          <t>Tomatoes</t>
        </is>
      </c>
      <c r="B11" s="59">
        <f>Tomato_Beds</f>
        <v/>
      </c>
      <c r="C11" s="57">
        <f>Tomato_Beds*Tomato_Price</f>
        <v/>
      </c>
      <c r="D11" s="57">
        <f>Tomato_Beds*Tomato_Fertizer</f>
        <v/>
      </c>
      <c r="E11" s="52">
        <f>Tomato_Beds*Tomato_Hours*Season*(1+Tomato_Dim_Return)^Tomato_Beds</f>
        <v/>
      </c>
      <c r="F11" s="57">
        <f>E11*Blended_Labor_Rate</f>
        <v/>
      </c>
      <c r="G11" s="57">
        <f>C11-D11-F11</f>
        <v/>
      </c>
    </row>
    <row r="12" ht="15" customHeight="1" s="35">
      <c r="A12" s="40" t="inlineStr">
        <is>
          <t>Carrots</t>
        </is>
      </c>
      <c r="B12" s="59">
        <f>Carrot_Beds</f>
        <v/>
      </c>
      <c r="C12" s="57">
        <f>Carrot_Beds*Carrot_Price</f>
        <v/>
      </c>
      <c r="D12" s="57">
        <f>Carrot_Beds*Carrot_Fertilizer</f>
        <v/>
      </c>
      <c r="E12" s="52">
        <f>Carrot_Beds*Carrrot_Hours*Season*(1+Carrot_Dim_Return)^Carrot_Beds</f>
        <v/>
      </c>
      <c r="F12" s="57">
        <f>E12*Blended_Labor_Rate</f>
        <v/>
      </c>
      <c r="G12" s="57">
        <f>C12-D12-F12</f>
        <v/>
      </c>
    </row>
    <row r="13" ht="15" customHeight="1" s="35">
      <c r="A13" s="40" t="inlineStr">
        <is>
          <t>Mesclun</t>
        </is>
      </c>
      <c r="B13" s="59">
        <f>Mesclun_Beds</f>
        <v/>
      </c>
      <c r="C13" s="57">
        <f>Mesclun_Beds*Mesclun_Price</f>
        <v/>
      </c>
      <c r="D13" s="57">
        <f>Mesclun_Beds*Mesclun_Fertilizer</f>
        <v/>
      </c>
      <c r="E13" s="52">
        <f>Mesclun_Beds*Mesclun_Hours*Season*(1+Mesclun_Dim_Return)^Mesclun_Beds</f>
        <v/>
      </c>
      <c r="F13" s="57">
        <f>E13*Blended_Labor_Rate</f>
        <v/>
      </c>
      <c r="G13" s="57">
        <f>C13-D13-F13</f>
        <v/>
      </c>
    </row>
    <row r="14" ht="15" customHeight="1" s="35">
      <c r="A14" s="40" t="inlineStr">
        <is>
          <t>Total</t>
        </is>
      </c>
      <c r="B14" s="60">
        <f>SUM(B11:B13)</f>
        <v/>
      </c>
      <c r="C14" s="61">
        <f>SUM(C11:C13)</f>
        <v/>
      </c>
      <c r="D14" s="61">
        <f>SUM(D11:D13)</f>
        <v/>
      </c>
      <c r="E14" s="62">
        <f>SUM(E11:E13)</f>
        <v/>
      </c>
      <c r="F14" s="61">
        <f>SUM(F11:F13)</f>
        <v/>
      </c>
      <c r="G14" s="61">
        <f>SUM(G11:G13)</f>
        <v/>
      </c>
    </row>
    <row r="16" ht="15" customHeight="1" s="35">
      <c r="A16" s="63" t="inlineStr">
        <is>
          <t>Farm-Level Summary</t>
        </is>
      </c>
      <c r="B16" s="64" t="n"/>
      <c r="C16" s="65" t="n"/>
    </row>
    <row r="17" ht="15" customHeight="1" s="35">
      <c r="A17" s="40" t="inlineStr">
        <is>
          <t>Total Labor Hours (hrs)</t>
        </is>
      </c>
      <c r="B17" s="52">
        <f>E14</f>
        <v/>
      </c>
      <c r="C17" s="51" t="n"/>
    </row>
    <row r="18" ht="15" customHeight="1" s="35">
      <c r="A18" s="40" t="inlineStr">
        <is>
          <t>Labor Hours — Farmer tier (&lt;= Farmer_Hours)</t>
        </is>
      </c>
      <c r="B18" s="52">
        <f>MIN(B17,Farmer_Hours)</f>
        <v/>
      </c>
      <c r="C18" s="51" t="n"/>
    </row>
    <row r="19" ht="15" customHeight="1" s="35">
      <c r="A19" s="40" t="inlineStr">
        <is>
          <t>Labor Hours — Temp tier (&lt;= Temp_Worker_Count*Temp_Worker_Hours_Each)</t>
        </is>
      </c>
      <c r="B19" s="52">
        <f>MIN(MAX(B17-Farmer_Hours,0),Temp_Worker_Count*Temp_Worker_Hours_Each)</f>
        <v/>
      </c>
      <c r="C19" s="51" t="n"/>
    </row>
    <row r="20" ht="15" customHeight="1" s="35">
      <c r="A20" s="40" t="inlineStr">
        <is>
          <t>Total Labor Cost ($)</t>
        </is>
      </c>
      <c r="B20" s="57">
        <f>B18*Farmer_Cost+B19*Temp_Worker_Cost</f>
        <v/>
      </c>
      <c r="C20" s="51" t="n"/>
    </row>
    <row r="21" ht="15" customHeight="1" s="35">
      <c r="A21" s="40" t="inlineStr">
        <is>
          <t>Blended Labor Rate ($/hr)</t>
        </is>
      </c>
      <c r="B21" s="66">
        <f>IFERROR(B20/B17,0)</f>
        <v/>
      </c>
      <c r="C21" s="51" t="n"/>
    </row>
    <row r="22" ht="15" customHeight="1" s="35">
      <c r="A22" s="40" t="inlineStr">
        <is>
          <t>Fixed Costs ($/season)</t>
        </is>
      </c>
      <c r="B22" s="57">
        <f>Fixed_Costs</f>
        <v/>
      </c>
      <c r="C22" s="51" t="n"/>
    </row>
    <row r="23" ht="15" customHeight="1" s="35">
      <c r="A23" s="40" t="inlineStr">
        <is>
          <t>Total Farm Profit ($)</t>
        </is>
      </c>
      <c r="B23" s="61">
        <f>G14-Fixed_Costs</f>
        <v/>
      </c>
      <c r="C23" s="51" t="n"/>
    </row>
    <row r="25" ht="15" customHeight="1" s="35">
      <c r="A25" s="38" t="inlineStr">
        <is>
          <t>Solver Setup Guide (Data &gt; Solver in Excel)</t>
        </is>
      </c>
    </row>
    <row r="26" ht="15" customHeight="1" s="35">
      <c r="A26" s="67" t="inlineStr">
        <is>
          <t>Set Objective:</t>
        </is>
      </c>
      <c r="B26" s="68" t="inlineStr">
        <is>
          <t>Total_Farm_Profit  (this sheet, cell B23)</t>
        </is>
      </c>
    </row>
    <row r="27" ht="15" customHeight="1" s="35">
      <c r="A27" s="67" t="inlineStr">
        <is>
          <t>To:</t>
        </is>
      </c>
      <c r="B27" s="68" t="inlineStr">
        <is>
          <t>Max</t>
        </is>
      </c>
    </row>
    <row r="28" ht="15" customHeight="1" s="35">
      <c r="A28" s="67" t="inlineStr">
        <is>
          <t>By Changing Variable Cells:</t>
        </is>
      </c>
      <c r="B28" s="68" t="inlineStr">
        <is>
          <t>Tomato_Beds, Carrot_Beds, Mesclun_Beds  (B5:B7 on this sheet)</t>
        </is>
      </c>
    </row>
    <row r="29" ht="15" customHeight="1" s="35">
      <c r="A29" s="67" t="inlineStr">
        <is>
          <t>Subject to Constraints:</t>
        </is>
      </c>
      <c r="B29" s="68" t="inlineStr">
        <is>
          <t>Tomato_Beds &lt;= Tomato_Bed_Cap</t>
        </is>
      </c>
    </row>
    <row r="30" ht="15" customHeight="1" s="35">
      <c r="B30" s="68" t="inlineStr">
        <is>
          <t>Carrot_Beds &lt;= Carrot_Bed_Cap</t>
        </is>
      </c>
    </row>
    <row r="31" ht="15" customHeight="1" s="35">
      <c r="B31" s="68" t="inlineStr">
        <is>
          <t>Mesclun_Beds &lt;= Mesclun_Bed_Cap</t>
        </is>
      </c>
    </row>
    <row r="32" ht="15" customHeight="1" s="35">
      <c r="B32" s="68" t="inlineStr">
        <is>
          <t>Total_Beds &lt;= Beds_Available</t>
        </is>
      </c>
    </row>
    <row r="33" ht="15" customHeight="1" s="35">
      <c r="B33" s="68" t="inlineStr">
        <is>
          <t>Total_Labor_Hours &lt;= Farmer_Hours + Temp_Worker_Count*Temp_Worker_Hours_Each</t>
        </is>
      </c>
    </row>
    <row r="34" ht="15" customHeight="1" s="35">
      <c r="B34" s="68" t="inlineStr">
        <is>
          <t>Tomato_Beds, Carrot_Beds, Mesclun_Beds &gt;= 0</t>
        </is>
      </c>
    </row>
    <row r="35" ht="15" customHeight="1" s="35">
      <c r="B35" s="68" t="inlineStr">
        <is>
          <t>Tomato_Beds, Carrot_Beds, Mesclun_Beds = integer</t>
        </is>
      </c>
    </row>
    <row r="36" ht="15" customHeight="1" s="35">
      <c r="A36" s="67" t="inlineStr">
        <is>
          <t>Solving Method:</t>
        </is>
      </c>
      <c r="B36" s="68" t="inlineStr">
        <is>
          <t>Evolutionary (objective is nonlinear/non-smooth: compounding diminishing returns on labor hours, plus a tiered farmer/temp labor rate)</t>
        </is>
      </c>
    </row>
    <row r="37" ht="15" customHeight="1" s="35">
      <c r="A37" s="67" t="inlineStr">
        <is>
          <t>Full constraint checks:</t>
        </is>
      </c>
      <c r="B37" s="68" t="inlineStr">
        <is>
          <t>See 'Constraints' sheet.</t>
        </is>
      </c>
    </row>
  </sheetData>
  <mergeCells count="17">
    <mergeCell ref="B34:G34"/>
    <mergeCell ref="A1:G1"/>
    <mergeCell ref="B28:G28"/>
    <mergeCell ref="A9:G9"/>
    <mergeCell ref="B36:G36"/>
    <mergeCell ref="B37:G37"/>
    <mergeCell ref="A16:C16"/>
    <mergeCell ref="B31:G31"/>
    <mergeCell ref="B27:G27"/>
    <mergeCell ref="B32:G32"/>
    <mergeCell ref="B35:G35"/>
    <mergeCell ref="A3:C3"/>
    <mergeCell ref="B26:G26"/>
    <mergeCell ref="A25:G25"/>
    <mergeCell ref="B30:G30"/>
    <mergeCell ref="B29:G29"/>
    <mergeCell ref="B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2026-09-09T03:33:56Z</dcterms:created>
  <dcterms:modified xsi:type="dcterms:W3CDTF">2026-09-15T18:26:15Z</dcterms:modified>
  <cp:revision>0</cp:revision>
</cp:coreProperties>
</file>